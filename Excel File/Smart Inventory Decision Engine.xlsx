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mesh\OneDrive\Desktop\SID Project\"/>
    </mc:Choice>
  </mc:AlternateContent>
  <xr:revisionPtr revIDLastSave="0" documentId="13_ncr:1_{B891549B-58B2-4818-8A2F-90C3FC0F4E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ventory_Data" sheetId="1" r:id="rId1"/>
    <sheet name="Control_Panel" sheetId="2" r:id="rId2"/>
    <sheet name="Decision_Output" sheetId="3" r:id="rId3"/>
  </sheets>
  <definedNames>
    <definedName name="_xlnm._FilterDatabase" localSheetId="0" hidden="1">Inventory_Data!$A$1:$AG$501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2" i="1"/>
  <c r="V92" i="1"/>
  <c r="W92" i="1" s="1"/>
  <c r="V344" i="1"/>
  <c r="W344" i="1" s="1"/>
  <c r="V169" i="1"/>
  <c r="W169" i="1" s="1"/>
  <c r="V232" i="1"/>
  <c r="W232" i="1" s="1"/>
  <c r="V211" i="1"/>
  <c r="W211" i="1" s="1"/>
  <c r="V332" i="1"/>
  <c r="W332" i="1" s="1"/>
  <c r="V149" i="1"/>
  <c r="W149" i="1" s="1"/>
  <c r="V473" i="1"/>
  <c r="W473" i="1" s="1"/>
  <c r="V11" i="1"/>
  <c r="W11" i="1" s="1"/>
  <c r="V72" i="1"/>
  <c r="W72" i="1" s="1"/>
  <c r="V468" i="1"/>
  <c r="W468" i="1" s="1"/>
  <c r="V156" i="1"/>
  <c r="W156" i="1" s="1"/>
  <c r="V272" i="1"/>
  <c r="W272" i="1" s="1"/>
  <c r="V231" i="1"/>
  <c r="W231" i="1" s="1"/>
  <c r="V124" i="1"/>
  <c r="W124" i="1" s="1"/>
  <c r="V157" i="1"/>
  <c r="W157" i="1" s="1"/>
  <c r="V474" i="1"/>
  <c r="W474" i="1" s="1"/>
  <c r="V80" i="1"/>
  <c r="W80" i="1" s="1"/>
  <c r="V317" i="1"/>
  <c r="W317" i="1" s="1"/>
  <c r="V341" i="1"/>
  <c r="W341" i="1" s="1"/>
  <c r="V402" i="1"/>
  <c r="W402" i="1" s="1"/>
  <c r="V296" i="1"/>
  <c r="W296" i="1" s="1"/>
  <c r="V398" i="1"/>
  <c r="W398" i="1" s="1"/>
  <c r="V411" i="1"/>
  <c r="W411" i="1" s="1"/>
  <c r="V416" i="1"/>
  <c r="W416" i="1" s="1"/>
  <c r="V165" i="1"/>
  <c r="W165" i="1" s="1"/>
  <c r="V168" i="1"/>
  <c r="W168" i="1" s="1"/>
  <c r="V226" i="1"/>
  <c r="W226" i="1" s="1"/>
  <c r="V176" i="1"/>
  <c r="W176" i="1" s="1"/>
  <c r="V350" i="1"/>
  <c r="W350" i="1" s="1"/>
  <c r="V397" i="1"/>
  <c r="W397" i="1" s="1"/>
  <c r="V399" i="1"/>
  <c r="W399" i="1" s="1"/>
  <c r="V110" i="1"/>
  <c r="W110" i="1" s="1"/>
  <c r="V494" i="1"/>
  <c r="W494" i="1" s="1"/>
  <c r="V141" i="1"/>
  <c r="W141" i="1" s="1"/>
  <c r="V311" i="1"/>
  <c r="W311" i="1" s="1"/>
  <c r="V109" i="1"/>
  <c r="W109" i="1" s="1"/>
  <c r="V51" i="1"/>
  <c r="W51" i="1" s="1"/>
  <c r="V458" i="1"/>
  <c r="W458" i="1" s="1"/>
  <c r="V495" i="1"/>
  <c r="W495" i="1" s="1"/>
  <c r="V273" i="1"/>
  <c r="W273" i="1" s="1"/>
  <c r="V469" i="1"/>
  <c r="W469" i="1" s="1"/>
  <c r="V424" i="1"/>
  <c r="W424" i="1" s="1"/>
  <c r="V429" i="1"/>
  <c r="W429" i="1" s="1"/>
  <c r="V137" i="1"/>
  <c r="W137" i="1" s="1"/>
  <c r="V396" i="1"/>
  <c r="W396" i="1" s="1"/>
  <c r="V353" i="1"/>
  <c r="W353" i="1" s="1"/>
  <c r="V387" i="1"/>
  <c r="W387" i="1" s="1"/>
  <c r="V276" i="1"/>
  <c r="W276" i="1" s="1"/>
  <c r="V207" i="1"/>
  <c r="W207" i="1" s="1"/>
  <c r="V484" i="1"/>
  <c r="W484" i="1" s="1"/>
  <c r="V225" i="1"/>
  <c r="W225" i="1" s="1"/>
  <c r="V455" i="1"/>
  <c r="W455" i="1" s="1"/>
  <c r="V366" i="1"/>
  <c r="W366" i="1" s="1"/>
  <c r="V492" i="1"/>
  <c r="W492" i="1" s="1"/>
  <c r="V27" i="1"/>
  <c r="W27" i="1" s="1"/>
  <c r="V213" i="1"/>
  <c r="W213" i="1" s="1"/>
  <c r="V40" i="1"/>
  <c r="W40" i="1" s="1"/>
  <c r="V147" i="1"/>
  <c r="W147" i="1" s="1"/>
  <c r="V60" i="1"/>
  <c r="W60" i="1" s="1"/>
  <c r="V417" i="1"/>
  <c r="W417" i="1" s="1"/>
  <c r="V106" i="1"/>
  <c r="W106" i="1" s="1"/>
  <c r="V178" i="1"/>
  <c r="W178" i="1" s="1"/>
  <c r="V140" i="1"/>
  <c r="W140" i="1" s="1"/>
  <c r="V314" i="1"/>
  <c r="W314" i="1" s="1"/>
  <c r="V435" i="1"/>
  <c r="W435" i="1" s="1"/>
  <c r="V172" i="1"/>
  <c r="W172" i="1" s="1"/>
  <c r="V26" i="1"/>
  <c r="W26" i="1" s="1"/>
  <c r="V113" i="1"/>
  <c r="W113" i="1" s="1"/>
  <c r="V477" i="1"/>
  <c r="W477" i="1" s="1"/>
  <c r="V434" i="1"/>
  <c r="W434" i="1" s="1"/>
  <c r="V175" i="1"/>
  <c r="W175" i="1" s="1"/>
  <c r="V35" i="1"/>
  <c r="W35" i="1" s="1"/>
  <c r="V299" i="1"/>
  <c r="W299" i="1" s="1"/>
  <c r="V454" i="1"/>
  <c r="W454" i="1" s="1"/>
  <c r="V428" i="1"/>
  <c r="W428" i="1" s="1"/>
  <c r="V480" i="1"/>
  <c r="W480" i="1" s="1"/>
  <c r="V470" i="1"/>
  <c r="W470" i="1" s="1"/>
  <c r="V152" i="1"/>
  <c r="W152" i="1" s="1"/>
  <c r="V63" i="1"/>
  <c r="W63" i="1" s="1"/>
  <c r="V361" i="1"/>
  <c r="W361" i="1" s="1"/>
  <c r="V222" i="1"/>
  <c r="W222" i="1" s="1"/>
  <c r="V210" i="1"/>
  <c r="W210" i="1" s="1"/>
  <c r="V81" i="1"/>
  <c r="W81" i="1" s="1"/>
  <c r="V221" i="1"/>
  <c r="W221" i="1" s="1"/>
  <c r="V270" i="1"/>
  <c r="W270" i="1" s="1"/>
  <c r="V357" i="1"/>
  <c r="W357" i="1" s="1"/>
  <c r="V98" i="1"/>
  <c r="W98" i="1" s="1"/>
  <c r="V216" i="1"/>
  <c r="W216" i="1" s="1"/>
  <c r="V230" i="1"/>
  <c r="W230" i="1" s="1"/>
  <c r="V144" i="1"/>
  <c r="W144" i="1" s="1"/>
  <c r="V117" i="1"/>
  <c r="W117" i="1" s="1"/>
  <c r="V52" i="1"/>
  <c r="W52" i="1" s="1"/>
  <c r="V190" i="1"/>
  <c r="W190" i="1" s="1"/>
  <c r="V37" i="1"/>
  <c r="W37" i="1" s="1"/>
  <c r="V459" i="1"/>
  <c r="W459" i="1" s="1"/>
  <c r="V29" i="1"/>
  <c r="W29" i="1" s="1"/>
  <c r="V13" i="1"/>
  <c r="W13" i="1" s="1"/>
  <c r="V180" i="1"/>
  <c r="W180" i="1" s="1"/>
  <c r="V99" i="1"/>
  <c r="W99" i="1" s="1"/>
  <c r="V293" i="1"/>
  <c r="W293" i="1" s="1"/>
  <c r="V247" i="1"/>
  <c r="W247" i="1" s="1"/>
  <c r="V359" i="1"/>
  <c r="W359" i="1" s="1"/>
  <c r="V275" i="1"/>
  <c r="W275" i="1" s="1"/>
  <c r="V15" i="1"/>
  <c r="W15" i="1" s="1"/>
  <c r="V381" i="1"/>
  <c r="W381" i="1" s="1"/>
  <c r="V7" i="1"/>
  <c r="W7" i="1" s="1"/>
  <c r="V327" i="1"/>
  <c r="W327" i="1" s="1"/>
  <c r="V271" i="1"/>
  <c r="W271" i="1" s="1"/>
  <c r="V91" i="1"/>
  <c r="W91" i="1" s="1"/>
  <c r="V391" i="1"/>
  <c r="W391" i="1" s="1"/>
  <c r="V364" i="1"/>
  <c r="W364" i="1" s="1"/>
  <c r="V390" i="1"/>
  <c r="W390" i="1" s="1"/>
  <c r="V472" i="1"/>
  <c r="W472" i="1" s="1"/>
  <c r="V274" i="1"/>
  <c r="W274" i="1" s="1"/>
  <c r="V100" i="1"/>
  <c r="W100" i="1" s="1"/>
  <c r="V292" i="1"/>
  <c r="W292" i="1" s="1"/>
  <c r="V66" i="1"/>
  <c r="W66" i="1" s="1"/>
  <c r="V21" i="1"/>
  <c r="W21" i="1" s="1"/>
  <c r="V49" i="1"/>
  <c r="W49" i="1" s="1"/>
  <c r="V199" i="1"/>
  <c r="W199" i="1" s="1"/>
  <c r="V393" i="1"/>
  <c r="W393" i="1" s="1"/>
  <c r="V173" i="1"/>
  <c r="W173" i="1" s="1"/>
  <c r="V465" i="1"/>
  <c r="W465" i="1" s="1"/>
  <c r="V50" i="1"/>
  <c r="W50" i="1" s="1"/>
  <c r="V437" i="1"/>
  <c r="W437" i="1" s="1"/>
  <c r="V208" i="1"/>
  <c r="W208" i="1" s="1"/>
  <c r="V374" i="1"/>
  <c r="W374" i="1" s="1"/>
  <c r="V489" i="1"/>
  <c r="W489" i="1" s="1"/>
  <c r="V493" i="1"/>
  <c r="W493" i="1" s="1"/>
  <c r="V356" i="1"/>
  <c r="W356" i="1" s="1"/>
  <c r="V229" i="1"/>
  <c r="W229" i="1" s="1"/>
  <c r="V306" i="1"/>
  <c r="W306" i="1" s="1"/>
  <c r="V198" i="1"/>
  <c r="W198" i="1" s="1"/>
  <c r="V406" i="1"/>
  <c r="W406" i="1" s="1"/>
  <c r="V331" i="1"/>
  <c r="W331" i="1" s="1"/>
  <c r="V74" i="1"/>
  <c r="W74" i="1" s="1"/>
  <c r="V97" i="1"/>
  <c r="W97" i="1" s="1"/>
  <c r="V337" i="1"/>
  <c r="W337" i="1" s="1"/>
  <c r="V279" i="1"/>
  <c r="W279" i="1" s="1"/>
  <c r="V53" i="1"/>
  <c r="W53" i="1" s="1"/>
  <c r="V83" i="1"/>
  <c r="W83" i="1" s="1"/>
  <c r="V161" i="1"/>
  <c r="W161" i="1" s="1"/>
  <c r="V410" i="1"/>
  <c r="W410" i="1" s="1"/>
  <c r="V282" i="1"/>
  <c r="W282" i="1" s="1"/>
  <c r="V56" i="1"/>
  <c r="W56" i="1" s="1"/>
  <c r="V177" i="1"/>
  <c r="W177" i="1" s="1"/>
  <c r="V155" i="1"/>
  <c r="W155" i="1" s="1"/>
  <c r="V467" i="1"/>
  <c r="W467" i="1" s="1"/>
  <c r="V301" i="1"/>
  <c r="W301" i="1" s="1"/>
  <c r="V304" i="1"/>
  <c r="W304" i="1" s="1"/>
  <c r="V457" i="1"/>
  <c r="W457" i="1" s="1"/>
  <c r="V32" i="1"/>
  <c r="W32" i="1" s="1"/>
  <c r="V205" i="1"/>
  <c r="W205" i="1" s="1"/>
  <c r="V287" i="1"/>
  <c r="W287" i="1" s="1"/>
  <c r="V436" i="1"/>
  <c r="W436" i="1" s="1"/>
  <c r="V476" i="1"/>
  <c r="W476" i="1" s="1"/>
  <c r="V123" i="1"/>
  <c r="W123" i="1" s="1"/>
  <c r="V316" i="1"/>
  <c r="W316" i="1" s="1"/>
  <c r="V319" i="1"/>
  <c r="W319" i="1" s="1"/>
  <c r="V329" i="1"/>
  <c r="W329" i="1" s="1"/>
  <c r="V244" i="1"/>
  <c r="W244" i="1" s="1"/>
  <c r="V321" i="1"/>
  <c r="W321" i="1" s="1"/>
  <c r="V395" i="1"/>
  <c r="W395" i="1" s="1"/>
  <c r="V203" i="1"/>
  <c r="W203" i="1" s="1"/>
  <c r="V46" i="1"/>
  <c r="W46" i="1" s="1"/>
  <c r="V290" i="1"/>
  <c r="W290" i="1" s="1"/>
  <c r="V102" i="1"/>
  <c r="W102" i="1" s="1"/>
  <c r="V89" i="1"/>
  <c r="W89" i="1" s="1"/>
  <c r="V162" i="1"/>
  <c r="W162" i="1" s="1"/>
  <c r="V438" i="1"/>
  <c r="W438" i="1" s="1"/>
  <c r="V302" i="1"/>
  <c r="W302" i="1" s="1"/>
  <c r="V88" i="1"/>
  <c r="W88" i="1" s="1"/>
  <c r="V10" i="1"/>
  <c r="W10" i="1" s="1"/>
  <c r="V118" i="1"/>
  <c r="W118" i="1" s="1"/>
  <c r="V135" i="1"/>
  <c r="W135" i="1" s="1"/>
  <c r="V378" i="1"/>
  <c r="W378" i="1" s="1"/>
  <c r="V501" i="1"/>
  <c r="W501" i="1" s="1"/>
  <c r="V227" i="1"/>
  <c r="W227" i="1" s="1"/>
  <c r="V171" i="1"/>
  <c r="W171" i="1" s="1"/>
  <c r="V189" i="1"/>
  <c r="W189" i="1" s="1"/>
  <c r="V19" i="1"/>
  <c r="W19" i="1" s="1"/>
  <c r="V70" i="1"/>
  <c r="W70" i="1" s="1"/>
  <c r="V107" i="1"/>
  <c r="W107" i="1" s="1"/>
  <c r="V119" i="1"/>
  <c r="W119" i="1" s="1"/>
  <c r="V160" i="1"/>
  <c r="W160" i="1" s="1"/>
  <c r="V130" i="1"/>
  <c r="W130" i="1" s="1"/>
  <c r="V342" i="1"/>
  <c r="W342" i="1" s="1"/>
  <c r="V204" i="1"/>
  <c r="W204" i="1" s="1"/>
  <c r="V265" i="1"/>
  <c r="W265" i="1" s="1"/>
  <c r="V385" i="1"/>
  <c r="W385" i="1" s="1"/>
  <c r="V131" i="1"/>
  <c r="W131" i="1" s="1"/>
  <c r="V431" i="1"/>
  <c r="W431" i="1" s="1"/>
  <c r="V254" i="1"/>
  <c r="W254" i="1" s="1"/>
  <c r="V358" i="1"/>
  <c r="W358" i="1" s="1"/>
  <c r="V371" i="1"/>
  <c r="W371" i="1" s="1"/>
  <c r="V249" i="1"/>
  <c r="W249" i="1" s="1"/>
  <c r="V103" i="1"/>
  <c r="W103" i="1" s="1"/>
  <c r="V163" i="1"/>
  <c r="W163" i="1" s="1"/>
  <c r="V334" i="1"/>
  <c r="W334" i="1" s="1"/>
  <c r="V286" i="1"/>
  <c r="W286" i="1" s="1"/>
  <c r="V136" i="1"/>
  <c r="W136" i="1" s="1"/>
  <c r="V460" i="1"/>
  <c r="W460" i="1" s="1"/>
  <c r="V186" i="1"/>
  <c r="W186" i="1" s="1"/>
  <c r="V78" i="1"/>
  <c r="W78" i="1" s="1"/>
  <c r="V42" i="1"/>
  <c r="W42" i="1" s="1"/>
  <c r="V303" i="1"/>
  <c r="W303" i="1" s="1"/>
  <c r="V101" i="1"/>
  <c r="W101" i="1" s="1"/>
  <c r="V191" i="1"/>
  <c r="W191" i="1" s="1"/>
  <c r="V486" i="1"/>
  <c r="W486" i="1" s="1"/>
  <c r="V195" i="1"/>
  <c r="W195" i="1" s="1"/>
  <c r="V439" i="1"/>
  <c r="W439" i="1" s="1"/>
  <c r="V369" i="1"/>
  <c r="W369" i="1" s="1"/>
  <c r="V330" i="1"/>
  <c r="W330" i="1" s="1"/>
  <c r="V479" i="1"/>
  <c r="W479" i="1" s="1"/>
  <c r="V24" i="1"/>
  <c r="W24" i="1" s="1"/>
  <c r="V419" i="1"/>
  <c r="W419" i="1" s="1"/>
  <c r="V194" i="1"/>
  <c r="W194" i="1" s="1"/>
  <c r="V451" i="1"/>
  <c r="W451" i="1" s="1"/>
  <c r="V449" i="1"/>
  <c r="W449" i="1" s="1"/>
  <c r="V44" i="1"/>
  <c r="W44" i="1" s="1"/>
  <c r="V212" i="1"/>
  <c r="W212" i="1" s="1"/>
  <c r="V235" i="1"/>
  <c r="W235" i="1" s="1"/>
  <c r="V234" i="1"/>
  <c r="W234" i="1" s="1"/>
  <c r="V43" i="1"/>
  <c r="W43" i="1" s="1"/>
  <c r="V220" i="1"/>
  <c r="W220" i="1" s="1"/>
  <c r="V104" i="1"/>
  <c r="W104" i="1" s="1"/>
  <c r="V93" i="1"/>
  <c r="W93" i="1" s="1"/>
  <c r="V322" i="1"/>
  <c r="W322" i="1" s="1"/>
  <c r="V485" i="1"/>
  <c r="W485" i="1" s="1"/>
  <c r="V335" i="1"/>
  <c r="W335" i="1" s="1"/>
  <c r="V223" i="1"/>
  <c r="W223" i="1" s="1"/>
  <c r="V12" i="1"/>
  <c r="W12" i="1" s="1"/>
  <c r="V115" i="1"/>
  <c r="W115" i="1" s="1"/>
  <c r="V407" i="1"/>
  <c r="W407" i="1" s="1"/>
  <c r="V487" i="1"/>
  <c r="W487" i="1" s="1"/>
  <c r="V412" i="1"/>
  <c r="W412" i="1" s="1"/>
  <c r="V6" i="1"/>
  <c r="W6" i="1" s="1"/>
  <c r="V77" i="1"/>
  <c r="W77" i="1" s="1"/>
  <c r="V427" i="1"/>
  <c r="W427" i="1" s="1"/>
  <c r="V376" i="1"/>
  <c r="W376" i="1" s="1"/>
  <c r="V441" i="1"/>
  <c r="W441" i="1" s="1"/>
  <c r="V490" i="1"/>
  <c r="W490" i="1" s="1"/>
  <c r="V448" i="1"/>
  <c r="W448" i="1" s="1"/>
  <c r="V389" i="1"/>
  <c r="W389" i="1" s="1"/>
  <c r="V202" i="1"/>
  <c r="W202" i="1" s="1"/>
  <c r="V237" i="1"/>
  <c r="W237" i="1" s="1"/>
  <c r="V257" i="1"/>
  <c r="W257" i="1" s="1"/>
  <c r="V307" i="1"/>
  <c r="W307" i="1" s="1"/>
  <c r="V3" i="1"/>
  <c r="W3" i="1" s="1"/>
  <c r="V463" i="1"/>
  <c r="W463" i="1" s="1"/>
  <c r="V269" i="1"/>
  <c r="W269" i="1" s="1"/>
  <c r="V392" i="1"/>
  <c r="W392" i="1" s="1"/>
  <c r="V61" i="1"/>
  <c r="W61" i="1" s="1"/>
  <c r="V420" i="1"/>
  <c r="W420" i="1" s="1"/>
  <c r="V45" i="1"/>
  <c r="W45" i="1" s="1"/>
  <c r="V318" i="1"/>
  <c r="W318" i="1" s="1"/>
  <c r="V85" i="1"/>
  <c r="W85" i="1" s="1"/>
  <c r="V192" i="1"/>
  <c r="W192" i="1" s="1"/>
  <c r="V259" i="1"/>
  <c r="W259" i="1" s="1"/>
  <c r="V84" i="1"/>
  <c r="W84" i="1" s="1"/>
  <c r="V128" i="1"/>
  <c r="W128" i="1" s="1"/>
  <c r="V433" i="1"/>
  <c r="W433" i="1" s="1"/>
  <c r="V444" i="1"/>
  <c r="W444" i="1" s="1"/>
  <c r="V288" i="1"/>
  <c r="W288" i="1" s="1"/>
  <c r="V278" i="1"/>
  <c r="W278" i="1" s="1"/>
  <c r="V215" i="1"/>
  <c r="W215" i="1" s="1"/>
  <c r="V462" i="1"/>
  <c r="W462" i="1" s="1"/>
  <c r="V133" i="1"/>
  <c r="W133" i="1" s="1"/>
  <c r="V121" i="1"/>
  <c r="W121" i="1" s="1"/>
  <c r="V125" i="1"/>
  <c r="W125" i="1" s="1"/>
  <c r="V283" i="1"/>
  <c r="W283" i="1" s="1"/>
  <c r="V483" i="1"/>
  <c r="W483" i="1" s="1"/>
  <c r="V253" i="1"/>
  <c r="W253" i="1" s="1"/>
  <c r="V25" i="1"/>
  <c r="W25" i="1" s="1"/>
  <c r="V418" i="1"/>
  <c r="W418" i="1" s="1"/>
  <c r="V309" i="1"/>
  <c r="W309" i="1" s="1"/>
  <c r="V488" i="1"/>
  <c r="W488" i="1" s="1"/>
  <c r="V90" i="1"/>
  <c r="W90" i="1" s="1"/>
  <c r="V461" i="1"/>
  <c r="W461" i="1" s="1"/>
  <c r="V65" i="1"/>
  <c r="W65" i="1" s="1"/>
  <c r="V87" i="1"/>
  <c r="W87" i="1" s="1"/>
  <c r="V430" i="1"/>
  <c r="W430" i="1" s="1"/>
  <c r="V328" i="1"/>
  <c r="W328" i="1" s="1"/>
  <c r="V4" i="1"/>
  <c r="W4" i="1" s="1"/>
  <c r="V394" i="1"/>
  <c r="W394" i="1" s="1"/>
  <c r="V154" i="1"/>
  <c r="W154" i="1" s="1"/>
  <c r="V39" i="1"/>
  <c r="W39" i="1" s="1"/>
  <c r="V64" i="1"/>
  <c r="W64" i="1" s="1"/>
  <c r="V218" i="1"/>
  <c r="W218" i="1" s="1"/>
  <c r="V193" i="1"/>
  <c r="W193" i="1" s="1"/>
  <c r="V224" i="1"/>
  <c r="W224" i="1" s="1"/>
  <c r="V401" i="1"/>
  <c r="W401" i="1" s="1"/>
  <c r="V47" i="1"/>
  <c r="W47" i="1" s="1"/>
  <c r="V174" i="1"/>
  <c r="W174" i="1" s="1"/>
  <c r="V345" i="1"/>
  <c r="W345" i="1" s="1"/>
  <c r="V400" i="1"/>
  <c r="W400" i="1" s="1"/>
  <c r="V325" i="1"/>
  <c r="W325" i="1" s="1"/>
  <c r="V446" i="1"/>
  <c r="W446" i="1" s="1"/>
  <c r="V158" i="1"/>
  <c r="W158" i="1" s="1"/>
  <c r="V264" i="1"/>
  <c r="W264" i="1" s="1"/>
  <c r="V28" i="1"/>
  <c r="W28" i="1" s="1"/>
  <c r="V38" i="1"/>
  <c r="W38" i="1" s="1"/>
  <c r="V266" i="1"/>
  <c r="W266" i="1" s="1"/>
  <c r="V305" i="1"/>
  <c r="W305" i="1" s="1"/>
  <c r="V258" i="1"/>
  <c r="W258" i="1" s="1"/>
  <c r="V450" i="1"/>
  <c r="W450" i="1" s="1"/>
  <c r="V16" i="1"/>
  <c r="W16" i="1" s="1"/>
  <c r="V308" i="1"/>
  <c r="W308" i="1" s="1"/>
  <c r="V252" i="1"/>
  <c r="W252" i="1" s="1"/>
  <c r="V20" i="1"/>
  <c r="W20" i="1" s="1"/>
  <c r="V251" i="1"/>
  <c r="W251" i="1" s="1"/>
  <c r="V164" i="1"/>
  <c r="W164" i="1" s="1"/>
  <c r="V367" i="1"/>
  <c r="W367" i="1" s="1"/>
  <c r="V54" i="1"/>
  <c r="W54" i="1" s="1"/>
  <c r="V236" i="1"/>
  <c r="W236" i="1" s="1"/>
  <c r="V96" i="1"/>
  <c r="W96" i="1" s="1"/>
  <c r="V365" i="1"/>
  <c r="W365" i="1" s="1"/>
  <c r="V116" i="1"/>
  <c r="W116" i="1" s="1"/>
  <c r="V250" i="1"/>
  <c r="W250" i="1" s="1"/>
  <c r="V498" i="1"/>
  <c r="W498" i="1" s="1"/>
  <c r="V268" i="1"/>
  <c r="W268" i="1" s="1"/>
  <c r="V294" i="1"/>
  <c r="W294" i="1" s="1"/>
  <c r="V466" i="1"/>
  <c r="W466" i="1" s="1"/>
  <c r="V5" i="1"/>
  <c r="W5" i="1" s="1"/>
  <c r="V284" i="1"/>
  <c r="W284" i="1" s="1"/>
  <c r="V370" i="1"/>
  <c r="W370" i="1" s="1"/>
  <c r="V8" i="1"/>
  <c r="W8" i="1" s="1"/>
  <c r="V166" i="1"/>
  <c r="W166" i="1" s="1"/>
  <c r="V343" i="1"/>
  <c r="W343" i="1" s="1"/>
  <c r="V36" i="1"/>
  <c r="W36" i="1" s="1"/>
  <c r="V481" i="1"/>
  <c r="W481" i="1" s="1"/>
  <c r="V145" i="1"/>
  <c r="W145" i="1" s="1"/>
  <c r="V497" i="1"/>
  <c r="W497" i="1" s="1"/>
  <c r="V33" i="1"/>
  <c r="W33" i="1" s="1"/>
  <c r="V289" i="1"/>
  <c r="W289" i="1" s="1"/>
  <c r="V388" i="1"/>
  <c r="W388" i="1" s="1"/>
  <c r="V108" i="1"/>
  <c r="W108" i="1" s="1"/>
  <c r="V346" i="1"/>
  <c r="W346" i="1" s="1"/>
  <c r="V285" i="1"/>
  <c r="W285" i="1" s="1"/>
  <c r="V111" i="1"/>
  <c r="W111" i="1" s="1"/>
  <c r="V69" i="1"/>
  <c r="W69" i="1" s="1"/>
  <c r="V443" i="1"/>
  <c r="W443" i="1" s="1"/>
  <c r="V500" i="1"/>
  <c r="W500" i="1" s="1"/>
  <c r="V491" i="1"/>
  <c r="W491" i="1" s="1"/>
  <c r="V408" i="1"/>
  <c r="W408" i="1" s="1"/>
  <c r="V245" i="1"/>
  <c r="W245" i="1" s="1"/>
  <c r="V197" i="1"/>
  <c r="W197" i="1" s="1"/>
  <c r="V326" i="1"/>
  <c r="W326" i="1" s="1"/>
  <c r="V167" i="1"/>
  <c r="W167" i="1" s="1"/>
  <c r="V188" i="1"/>
  <c r="W188" i="1" s="1"/>
  <c r="V58" i="1"/>
  <c r="W58" i="1" s="1"/>
  <c r="V185" i="1"/>
  <c r="W185" i="1" s="1"/>
  <c r="V105" i="1"/>
  <c r="W105" i="1" s="1"/>
  <c r="V277" i="1"/>
  <c r="W277" i="1" s="1"/>
  <c r="V456" i="1"/>
  <c r="W456" i="1" s="1"/>
  <c r="V355" i="1"/>
  <c r="W355" i="1" s="1"/>
  <c r="V246" i="1"/>
  <c r="W246" i="1" s="1"/>
  <c r="V432" i="1"/>
  <c r="W432" i="1" s="1"/>
  <c r="V209" i="1"/>
  <c r="W209" i="1" s="1"/>
  <c r="V310" i="1"/>
  <c r="W310" i="1" s="1"/>
  <c r="V139" i="1"/>
  <c r="W139" i="1" s="1"/>
  <c r="V447" i="1"/>
  <c r="W447" i="1" s="1"/>
  <c r="V384" i="1"/>
  <c r="W384" i="1" s="1"/>
  <c r="V347" i="1"/>
  <c r="W347" i="1" s="1"/>
  <c r="V379" i="1"/>
  <c r="W379" i="1" s="1"/>
  <c r="V409" i="1"/>
  <c r="W409" i="1" s="1"/>
  <c r="V112" i="1"/>
  <c r="W112" i="1" s="1"/>
  <c r="V57" i="1"/>
  <c r="W57" i="1" s="1"/>
  <c r="V482" i="1"/>
  <c r="W482" i="1" s="1"/>
  <c r="V475" i="1"/>
  <c r="W475" i="1" s="1"/>
  <c r="V362" i="1"/>
  <c r="W362" i="1" s="1"/>
  <c r="V18" i="1"/>
  <c r="W18" i="1" s="1"/>
  <c r="V281" i="1"/>
  <c r="W281" i="1" s="1"/>
  <c r="V297" i="1"/>
  <c r="W297" i="1" s="1"/>
  <c r="V421" i="1"/>
  <c r="W421" i="1" s="1"/>
  <c r="V138" i="1"/>
  <c r="W138" i="1" s="1"/>
  <c r="V313" i="1"/>
  <c r="W313" i="1" s="1"/>
  <c r="V339" i="1"/>
  <c r="W339" i="1" s="1"/>
  <c r="V405" i="1"/>
  <c r="W405" i="1" s="1"/>
  <c r="V120" i="1"/>
  <c r="W120" i="1" s="1"/>
  <c r="V256" i="1"/>
  <c r="W256" i="1" s="1"/>
  <c r="V404" i="1"/>
  <c r="W404" i="1" s="1"/>
  <c r="V153" i="1"/>
  <c r="W153" i="1" s="1"/>
  <c r="V360" i="1"/>
  <c r="W360" i="1" s="1"/>
  <c r="V425" i="1"/>
  <c r="W425" i="1" s="1"/>
  <c r="V127" i="1"/>
  <c r="W127" i="1" s="1"/>
  <c r="V183" i="1"/>
  <c r="W183" i="1" s="1"/>
  <c r="V14" i="1"/>
  <c r="W14" i="1" s="1"/>
  <c r="V62" i="1"/>
  <c r="W62" i="1" s="1"/>
  <c r="V320" i="1"/>
  <c r="W320" i="1" s="1"/>
  <c r="V2" i="1"/>
  <c r="W2" i="1" s="1"/>
  <c r="V295" i="1"/>
  <c r="W295" i="1" s="1"/>
  <c r="V86" i="1"/>
  <c r="W86" i="1" s="1"/>
  <c r="V95" i="1"/>
  <c r="W95" i="1" s="1"/>
  <c r="V71" i="1"/>
  <c r="W71" i="1" s="1"/>
  <c r="V323" i="1"/>
  <c r="W323" i="1" s="1"/>
  <c r="V41" i="1"/>
  <c r="W41" i="1" s="1"/>
  <c r="V68" i="1"/>
  <c r="W68" i="1" s="1"/>
  <c r="V214" i="1"/>
  <c r="W214" i="1" s="1"/>
  <c r="V352" i="1"/>
  <c r="W352" i="1" s="1"/>
  <c r="V217" i="1"/>
  <c r="W217" i="1" s="1"/>
  <c r="V148" i="1"/>
  <c r="W148" i="1" s="1"/>
  <c r="V413" i="1"/>
  <c r="W413" i="1" s="1"/>
  <c r="V372" i="1"/>
  <c r="W372" i="1" s="1"/>
  <c r="V375" i="1"/>
  <c r="W375" i="1" s="1"/>
  <c r="V261" i="1"/>
  <c r="W261" i="1" s="1"/>
  <c r="V263" i="1"/>
  <c r="W263" i="1" s="1"/>
  <c r="V260" i="1"/>
  <c r="W260" i="1" s="1"/>
  <c r="V464" i="1"/>
  <c r="W464" i="1" s="1"/>
  <c r="V453" i="1"/>
  <c r="W453" i="1" s="1"/>
  <c r="V440" i="1"/>
  <c r="W440" i="1" s="1"/>
  <c r="V422" i="1"/>
  <c r="W422" i="1" s="1"/>
  <c r="V201" i="1"/>
  <c r="W201" i="1" s="1"/>
  <c r="V184" i="1"/>
  <c r="W184" i="1" s="1"/>
  <c r="V262" i="1"/>
  <c r="W262" i="1" s="1"/>
  <c r="V196" i="1"/>
  <c r="W196" i="1" s="1"/>
  <c r="V242" i="1"/>
  <c r="W242" i="1" s="1"/>
  <c r="V324" i="1"/>
  <c r="W324" i="1" s="1"/>
  <c r="V22" i="1"/>
  <c r="W22" i="1" s="1"/>
  <c r="V445" i="1"/>
  <c r="W445" i="1" s="1"/>
  <c r="V122" i="1"/>
  <c r="W122" i="1" s="1"/>
  <c r="V452" i="1"/>
  <c r="W452" i="1" s="1"/>
  <c r="V496" i="1"/>
  <c r="W496" i="1" s="1"/>
  <c r="V151" i="1"/>
  <c r="W151" i="1" s="1"/>
  <c r="V228" i="1"/>
  <c r="W228" i="1" s="1"/>
  <c r="V17" i="1"/>
  <c r="W17" i="1" s="1"/>
  <c r="V382" i="1"/>
  <c r="W382" i="1" s="1"/>
  <c r="V239" i="1"/>
  <c r="W239" i="1" s="1"/>
  <c r="V403" i="1"/>
  <c r="W403" i="1" s="1"/>
  <c r="V182" i="1"/>
  <c r="W182" i="1" s="1"/>
  <c r="V426" i="1"/>
  <c r="W426" i="1" s="1"/>
  <c r="V243" i="1"/>
  <c r="W243" i="1" s="1"/>
  <c r="V312" i="1"/>
  <c r="W312" i="1" s="1"/>
  <c r="V386" i="1"/>
  <c r="W386" i="1" s="1"/>
  <c r="V59" i="1"/>
  <c r="W59" i="1" s="1"/>
  <c r="V349" i="1"/>
  <c r="W349" i="1" s="1"/>
  <c r="V48" i="1"/>
  <c r="W48" i="1" s="1"/>
  <c r="V333" i="1"/>
  <c r="W333" i="1" s="1"/>
  <c r="V423" i="1"/>
  <c r="W423" i="1" s="1"/>
  <c r="V368" i="1"/>
  <c r="W368" i="1" s="1"/>
  <c r="V129" i="1"/>
  <c r="W129" i="1" s="1"/>
  <c r="V315" i="1"/>
  <c r="W315" i="1" s="1"/>
  <c r="V280" i="1"/>
  <c r="W280" i="1" s="1"/>
  <c r="V126" i="1"/>
  <c r="W126" i="1" s="1"/>
  <c r="V55" i="1"/>
  <c r="W55" i="1" s="1"/>
  <c r="V340" i="1"/>
  <c r="W340" i="1" s="1"/>
  <c r="V170" i="1"/>
  <c r="W170" i="1" s="1"/>
  <c r="V31" i="1"/>
  <c r="W31" i="1" s="1"/>
  <c r="V75" i="1"/>
  <c r="W75" i="1" s="1"/>
  <c r="V132" i="1"/>
  <c r="W132" i="1" s="1"/>
  <c r="V9" i="1"/>
  <c r="W9" i="1" s="1"/>
  <c r="V363" i="1"/>
  <c r="W363" i="1" s="1"/>
  <c r="V219" i="1"/>
  <c r="W219" i="1" s="1"/>
  <c r="V267" i="1"/>
  <c r="W267" i="1" s="1"/>
  <c r="V200" i="1"/>
  <c r="W200" i="1" s="1"/>
  <c r="V150" i="1"/>
  <c r="W150" i="1" s="1"/>
  <c r="V143" i="1"/>
  <c r="W143" i="1" s="1"/>
  <c r="V248" i="1"/>
  <c r="W248" i="1" s="1"/>
  <c r="V241" i="1"/>
  <c r="W241" i="1" s="1"/>
  <c r="V291" i="1"/>
  <c r="W291" i="1" s="1"/>
  <c r="V377" i="1"/>
  <c r="W377" i="1" s="1"/>
  <c r="V383" i="1"/>
  <c r="W383" i="1" s="1"/>
  <c r="V134" i="1"/>
  <c r="W134" i="1" s="1"/>
  <c r="V415" i="1"/>
  <c r="W415" i="1" s="1"/>
  <c r="V354" i="1"/>
  <c r="W354" i="1" s="1"/>
  <c r="V255" i="1"/>
  <c r="W255" i="1" s="1"/>
  <c r="V179" i="1"/>
  <c r="W179" i="1" s="1"/>
  <c r="V159" i="1"/>
  <c r="W159" i="1" s="1"/>
  <c r="V23" i="1"/>
  <c r="W23" i="1" s="1"/>
  <c r="V30" i="1"/>
  <c r="W30" i="1" s="1"/>
  <c r="V471" i="1"/>
  <c r="W471" i="1" s="1"/>
  <c r="V181" i="1"/>
  <c r="W181" i="1" s="1"/>
  <c r="V206" i="1"/>
  <c r="W206" i="1" s="1"/>
  <c r="V380" i="1"/>
  <c r="W380" i="1" s="1"/>
  <c r="V142" i="1"/>
  <c r="W142" i="1" s="1"/>
  <c r="V187" i="1"/>
  <c r="W187" i="1" s="1"/>
  <c r="V79" i="1"/>
  <c r="W79" i="1" s="1"/>
  <c r="V442" i="1"/>
  <c r="W442" i="1" s="1"/>
  <c r="V82" i="1"/>
  <c r="W82" i="1" s="1"/>
  <c r="V67" i="1"/>
  <c r="W67" i="1" s="1"/>
  <c r="V351" i="1"/>
  <c r="W351" i="1" s="1"/>
  <c r="V336" i="1"/>
  <c r="W336" i="1" s="1"/>
  <c r="V300" i="1"/>
  <c r="W300" i="1" s="1"/>
  <c r="V240" i="1"/>
  <c r="W240" i="1" s="1"/>
  <c r="V373" i="1"/>
  <c r="W373" i="1" s="1"/>
  <c r="V146" i="1"/>
  <c r="W146" i="1" s="1"/>
  <c r="V298" i="1"/>
  <c r="W298" i="1" s="1"/>
  <c r="V348" i="1"/>
  <c r="W348" i="1" s="1"/>
  <c r="V414" i="1"/>
  <c r="W414" i="1" s="1"/>
  <c r="V478" i="1"/>
  <c r="W478" i="1" s="1"/>
  <c r="V73" i="1"/>
  <c r="W73" i="1" s="1"/>
  <c r="V94" i="1"/>
  <c r="W94" i="1" s="1"/>
  <c r="V34" i="1"/>
  <c r="W34" i="1" s="1"/>
  <c r="V499" i="1"/>
  <c r="W499" i="1" s="1"/>
  <c r="V238" i="1"/>
  <c r="W238" i="1" s="1"/>
  <c r="V338" i="1"/>
  <c r="W338" i="1" s="1"/>
  <c r="V233" i="1"/>
  <c r="W233" i="1" s="1"/>
  <c r="V114" i="1"/>
  <c r="W114" i="1" s="1"/>
  <c r="V76" i="1"/>
  <c r="W76" i="1" s="1"/>
  <c r="R92" i="1"/>
  <c r="R344" i="1"/>
  <c r="R169" i="1"/>
  <c r="R232" i="1"/>
  <c r="R211" i="1"/>
  <c r="R332" i="1"/>
  <c r="R149" i="1"/>
  <c r="R473" i="1"/>
  <c r="R11" i="1"/>
  <c r="R72" i="1"/>
  <c r="R468" i="1"/>
  <c r="R156" i="1"/>
  <c r="R272" i="1"/>
  <c r="R231" i="1"/>
  <c r="R124" i="1"/>
  <c r="R157" i="1"/>
  <c r="R474" i="1"/>
  <c r="R80" i="1"/>
  <c r="R317" i="1"/>
  <c r="R341" i="1"/>
  <c r="R402" i="1"/>
  <c r="R296" i="1"/>
  <c r="R398" i="1"/>
  <c r="R411" i="1"/>
  <c r="R416" i="1"/>
  <c r="R165" i="1"/>
  <c r="R168" i="1"/>
  <c r="R226" i="1"/>
  <c r="R176" i="1"/>
  <c r="R350" i="1"/>
  <c r="R397" i="1"/>
  <c r="R399" i="1"/>
  <c r="R110" i="1"/>
  <c r="R494" i="1"/>
  <c r="R141" i="1"/>
  <c r="R311" i="1"/>
  <c r="R109" i="1"/>
  <c r="R51" i="1"/>
  <c r="R458" i="1"/>
  <c r="R495" i="1"/>
  <c r="R273" i="1"/>
  <c r="R469" i="1"/>
  <c r="R424" i="1"/>
  <c r="R429" i="1"/>
  <c r="R137" i="1"/>
  <c r="R396" i="1"/>
  <c r="R353" i="1"/>
  <c r="R387" i="1"/>
  <c r="R276" i="1"/>
  <c r="R207" i="1"/>
  <c r="R484" i="1"/>
  <c r="R225" i="1"/>
  <c r="R455" i="1"/>
  <c r="R366" i="1"/>
  <c r="R492" i="1"/>
  <c r="R27" i="1"/>
  <c r="R213" i="1"/>
  <c r="R40" i="1"/>
  <c r="R147" i="1"/>
  <c r="R60" i="1"/>
  <c r="R417" i="1"/>
  <c r="R106" i="1"/>
  <c r="R178" i="1"/>
  <c r="R140" i="1"/>
  <c r="R314" i="1"/>
  <c r="R435" i="1"/>
  <c r="R172" i="1"/>
  <c r="R26" i="1"/>
  <c r="R113" i="1"/>
  <c r="R477" i="1"/>
  <c r="R434" i="1"/>
  <c r="R175" i="1"/>
  <c r="R35" i="1"/>
  <c r="R299" i="1"/>
  <c r="R454" i="1"/>
  <c r="R428" i="1"/>
  <c r="R480" i="1"/>
  <c r="R470" i="1"/>
  <c r="R152" i="1"/>
  <c r="R63" i="1"/>
  <c r="R361" i="1"/>
  <c r="R222" i="1"/>
  <c r="R210" i="1"/>
  <c r="R81" i="1"/>
  <c r="R221" i="1"/>
  <c r="R270" i="1"/>
  <c r="R357" i="1"/>
  <c r="R98" i="1"/>
  <c r="R216" i="1"/>
  <c r="R230" i="1"/>
  <c r="R144" i="1"/>
  <c r="R117" i="1"/>
  <c r="R52" i="1"/>
  <c r="R190" i="1"/>
  <c r="R37" i="1"/>
  <c r="R459" i="1"/>
  <c r="R29" i="1"/>
  <c r="R13" i="1"/>
  <c r="R180" i="1"/>
  <c r="R99" i="1"/>
  <c r="R293" i="1"/>
  <c r="R247" i="1"/>
  <c r="R359" i="1"/>
  <c r="R275" i="1"/>
  <c r="R15" i="1"/>
  <c r="R381" i="1"/>
  <c r="R7" i="1"/>
  <c r="R327" i="1"/>
  <c r="R271" i="1"/>
  <c r="R91" i="1"/>
  <c r="R391" i="1"/>
  <c r="R364" i="1"/>
  <c r="R390" i="1"/>
  <c r="R472" i="1"/>
  <c r="R274" i="1"/>
  <c r="R100" i="1"/>
  <c r="R292" i="1"/>
  <c r="R66" i="1"/>
  <c r="R21" i="1"/>
  <c r="R49" i="1"/>
  <c r="R199" i="1"/>
  <c r="R393" i="1"/>
  <c r="R173" i="1"/>
  <c r="R465" i="1"/>
  <c r="R50" i="1"/>
  <c r="R437" i="1"/>
  <c r="R208" i="1"/>
  <c r="R374" i="1"/>
  <c r="R489" i="1"/>
  <c r="R493" i="1"/>
  <c r="R356" i="1"/>
  <c r="R229" i="1"/>
  <c r="R306" i="1"/>
  <c r="R198" i="1"/>
  <c r="R406" i="1"/>
  <c r="R331" i="1"/>
  <c r="R74" i="1"/>
  <c r="R97" i="1"/>
  <c r="R337" i="1"/>
  <c r="R279" i="1"/>
  <c r="R53" i="1"/>
  <c r="R83" i="1"/>
  <c r="R161" i="1"/>
  <c r="R410" i="1"/>
  <c r="R282" i="1"/>
  <c r="R56" i="1"/>
  <c r="R177" i="1"/>
  <c r="R155" i="1"/>
  <c r="R467" i="1"/>
  <c r="R301" i="1"/>
  <c r="R304" i="1"/>
  <c r="R457" i="1"/>
  <c r="R32" i="1"/>
  <c r="R205" i="1"/>
  <c r="R287" i="1"/>
  <c r="R436" i="1"/>
  <c r="R476" i="1"/>
  <c r="R123" i="1"/>
  <c r="R316" i="1"/>
  <c r="R319" i="1"/>
  <c r="R329" i="1"/>
  <c r="R244" i="1"/>
  <c r="R321" i="1"/>
  <c r="R395" i="1"/>
  <c r="R203" i="1"/>
  <c r="R46" i="1"/>
  <c r="R290" i="1"/>
  <c r="R102" i="1"/>
  <c r="R89" i="1"/>
  <c r="R162" i="1"/>
  <c r="R438" i="1"/>
  <c r="R302" i="1"/>
  <c r="R88" i="1"/>
  <c r="R10" i="1"/>
  <c r="R118" i="1"/>
  <c r="R135" i="1"/>
  <c r="R378" i="1"/>
  <c r="R501" i="1"/>
  <c r="R227" i="1"/>
  <c r="R171" i="1"/>
  <c r="R189" i="1"/>
  <c r="R19" i="1"/>
  <c r="R70" i="1"/>
  <c r="R107" i="1"/>
  <c r="R119" i="1"/>
  <c r="R160" i="1"/>
  <c r="R130" i="1"/>
  <c r="R342" i="1"/>
  <c r="R204" i="1"/>
  <c r="R265" i="1"/>
  <c r="R385" i="1"/>
  <c r="R131" i="1"/>
  <c r="R431" i="1"/>
  <c r="R254" i="1"/>
  <c r="R358" i="1"/>
  <c r="R371" i="1"/>
  <c r="R249" i="1"/>
  <c r="R103" i="1"/>
  <c r="R163" i="1"/>
  <c r="R334" i="1"/>
  <c r="R286" i="1"/>
  <c r="R136" i="1"/>
  <c r="R460" i="1"/>
  <c r="R186" i="1"/>
  <c r="R78" i="1"/>
  <c r="R42" i="1"/>
  <c r="R303" i="1"/>
  <c r="R101" i="1"/>
  <c r="R191" i="1"/>
  <c r="R486" i="1"/>
  <c r="R195" i="1"/>
  <c r="R439" i="1"/>
  <c r="R369" i="1"/>
  <c r="R330" i="1"/>
  <c r="R479" i="1"/>
  <c r="R24" i="1"/>
  <c r="R419" i="1"/>
  <c r="R194" i="1"/>
  <c r="R451" i="1"/>
  <c r="R449" i="1"/>
  <c r="R44" i="1"/>
  <c r="R212" i="1"/>
  <c r="R235" i="1"/>
  <c r="R234" i="1"/>
  <c r="R43" i="1"/>
  <c r="R220" i="1"/>
  <c r="R104" i="1"/>
  <c r="R93" i="1"/>
  <c r="R322" i="1"/>
  <c r="R485" i="1"/>
  <c r="R335" i="1"/>
  <c r="R223" i="1"/>
  <c r="R12" i="1"/>
  <c r="R115" i="1"/>
  <c r="R407" i="1"/>
  <c r="R487" i="1"/>
  <c r="R412" i="1"/>
  <c r="R6" i="1"/>
  <c r="R77" i="1"/>
  <c r="R427" i="1"/>
  <c r="R376" i="1"/>
  <c r="R441" i="1"/>
  <c r="R490" i="1"/>
  <c r="R448" i="1"/>
  <c r="R389" i="1"/>
  <c r="R202" i="1"/>
  <c r="R237" i="1"/>
  <c r="R257" i="1"/>
  <c r="R307" i="1"/>
  <c r="R3" i="1"/>
  <c r="R463" i="1"/>
  <c r="R269" i="1"/>
  <c r="R392" i="1"/>
  <c r="R61" i="1"/>
  <c r="R420" i="1"/>
  <c r="R45" i="1"/>
  <c r="R318" i="1"/>
  <c r="R85" i="1"/>
  <c r="R192" i="1"/>
  <c r="R259" i="1"/>
  <c r="R84" i="1"/>
  <c r="R128" i="1"/>
  <c r="R433" i="1"/>
  <c r="R444" i="1"/>
  <c r="R288" i="1"/>
  <c r="R278" i="1"/>
  <c r="R215" i="1"/>
  <c r="R462" i="1"/>
  <c r="R133" i="1"/>
  <c r="R121" i="1"/>
  <c r="R125" i="1"/>
  <c r="R283" i="1"/>
  <c r="R483" i="1"/>
  <c r="R253" i="1"/>
  <c r="R25" i="1"/>
  <c r="R418" i="1"/>
  <c r="R309" i="1"/>
  <c r="R488" i="1"/>
  <c r="R90" i="1"/>
  <c r="R461" i="1"/>
  <c r="R65" i="1"/>
  <c r="R87" i="1"/>
  <c r="R430" i="1"/>
  <c r="R328" i="1"/>
  <c r="R4" i="1"/>
  <c r="R394" i="1"/>
  <c r="R154" i="1"/>
  <c r="R39" i="1"/>
  <c r="R64" i="1"/>
  <c r="R218" i="1"/>
  <c r="R193" i="1"/>
  <c r="R224" i="1"/>
  <c r="R401" i="1"/>
  <c r="R47" i="1"/>
  <c r="R174" i="1"/>
  <c r="R345" i="1"/>
  <c r="R400" i="1"/>
  <c r="R325" i="1"/>
  <c r="R446" i="1"/>
  <c r="R158" i="1"/>
  <c r="R264" i="1"/>
  <c r="R28" i="1"/>
  <c r="R38" i="1"/>
  <c r="R266" i="1"/>
  <c r="R305" i="1"/>
  <c r="R258" i="1"/>
  <c r="R450" i="1"/>
  <c r="R16" i="1"/>
  <c r="R308" i="1"/>
  <c r="R252" i="1"/>
  <c r="R20" i="1"/>
  <c r="R251" i="1"/>
  <c r="R164" i="1"/>
  <c r="R367" i="1"/>
  <c r="R54" i="1"/>
  <c r="R236" i="1"/>
  <c r="R96" i="1"/>
  <c r="R365" i="1"/>
  <c r="R116" i="1"/>
  <c r="R250" i="1"/>
  <c r="R498" i="1"/>
  <c r="R268" i="1"/>
  <c r="R294" i="1"/>
  <c r="R466" i="1"/>
  <c r="R5" i="1"/>
  <c r="R284" i="1"/>
  <c r="R370" i="1"/>
  <c r="R8" i="1"/>
  <c r="R166" i="1"/>
  <c r="R343" i="1"/>
  <c r="R36" i="1"/>
  <c r="R481" i="1"/>
  <c r="R145" i="1"/>
  <c r="R497" i="1"/>
  <c r="R33" i="1"/>
  <c r="R289" i="1"/>
  <c r="R388" i="1"/>
  <c r="R108" i="1"/>
  <c r="R346" i="1"/>
  <c r="R285" i="1"/>
  <c r="R111" i="1"/>
  <c r="R69" i="1"/>
  <c r="R443" i="1"/>
  <c r="R500" i="1"/>
  <c r="R491" i="1"/>
  <c r="R408" i="1"/>
  <c r="R245" i="1"/>
  <c r="R197" i="1"/>
  <c r="R326" i="1"/>
  <c r="R167" i="1"/>
  <c r="R188" i="1"/>
  <c r="R58" i="1"/>
  <c r="R185" i="1"/>
  <c r="R105" i="1"/>
  <c r="R277" i="1"/>
  <c r="R456" i="1"/>
  <c r="R355" i="1"/>
  <c r="R246" i="1"/>
  <c r="R432" i="1"/>
  <c r="R209" i="1"/>
  <c r="R310" i="1"/>
  <c r="R139" i="1"/>
  <c r="R447" i="1"/>
  <c r="R384" i="1"/>
  <c r="R347" i="1"/>
  <c r="R379" i="1"/>
  <c r="R409" i="1"/>
  <c r="R112" i="1"/>
  <c r="R57" i="1"/>
  <c r="R482" i="1"/>
  <c r="R475" i="1"/>
  <c r="R362" i="1"/>
  <c r="R18" i="1"/>
  <c r="R281" i="1"/>
  <c r="R297" i="1"/>
  <c r="R421" i="1"/>
  <c r="R138" i="1"/>
  <c r="R313" i="1"/>
  <c r="R339" i="1"/>
  <c r="R405" i="1"/>
  <c r="R120" i="1"/>
  <c r="R256" i="1"/>
  <c r="R404" i="1"/>
  <c r="R153" i="1"/>
  <c r="R360" i="1"/>
  <c r="R425" i="1"/>
  <c r="R127" i="1"/>
  <c r="R183" i="1"/>
  <c r="R14" i="1"/>
  <c r="R62" i="1"/>
  <c r="R320" i="1"/>
  <c r="R2" i="1"/>
  <c r="R295" i="1"/>
  <c r="R86" i="1"/>
  <c r="R95" i="1"/>
  <c r="R71" i="1"/>
  <c r="R323" i="1"/>
  <c r="R41" i="1"/>
  <c r="R68" i="1"/>
  <c r="R214" i="1"/>
  <c r="R352" i="1"/>
  <c r="R217" i="1"/>
  <c r="R148" i="1"/>
  <c r="R413" i="1"/>
  <c r="R372" i="1"/>
  <c r="R375" i="1"/>
  <c r="R261" i="1"/>
  <c r="R263" i="1"/>
  <c r="R260" i="1"/>
  <c r="R464" i="1"/>
  <c r="R453" i="1"/>
  <c r="R440" i="1"/>
  <c r="R422" i="1"/>
  <c r="R201" i="1"/>
  <c r="R184" i="1"/>
  <c r="R262" i="1"/>
  <c r="R196" i="1"/>
  <c r="R242" i="1"/>
  <c r="R324" i="1"/>
  <c r="R22" i="1"/>
  <c r="R445" i="1"/>
  <c r="R122" i="1"/>
  <c r="R452" i="1"/>
  <c r="R496" i="1"/>
  <c r="R151" i="1"/>
  <c r="R228" i="1"/>
  <c r="R17" i="1"/>
  <c r="R382" i="1"/>
  <c r="R239" i="1"/>
  <c r="R403" i="1"/>
  <c r="R182" i="1"/>
  <c r="R426" i="1"/>
  <c r="R243" i="1"/>
  <c r="R312" i="1"/>
  <c r="R386" i="1"/>
  <c r="R59" i="1"/>
  <c r="R349" i="1"/>
  <c r="R48" i="1"/>
  <c r="R333" i="1"/>
  <c r="R423" i="1"/>
  <c r="R368" i="1"/>
  <c r="R129" i="1"/>
  <c r="R315" i="1"/>
  <c r="R280" i="1"/>
  <c r="R126" i="1"/>
  <c r="R55" i="1"/>
  <c r="R340" i="1"/>
  <c r="R170" i="1"/>
  <c r="R31" i="1"/>
  <c r="R75" i="1"/>
  <c r="R132" i="1"/>
  <c r="R9" i="1"/>
  <c r="R363" i="1"/>
  <c r="R219" i="1"/>
  <c r="R267" i="1"/>
  <c r="R200" i="1"/>
  <c r="R150" i="1"/>
  <c r="R143" i="1"/>
  <c r="R248" i="1"/>
  <c r="R241" i="1"/>
  <c r="R291" i="1"/>
  <c r="R377" i="1"/>
  <c r="R383" i="1"/>
  <c r="R134" i="1"/>
  <c r="R415" i="1"/>
  <c r="R354" i="1"/>
  <c r="R255" i="1"/>
  <c r="R179" i="1"/>
  <c r="R159" i="1"/>
  <c r="R23" i="1"/>
  <c r="R30" i="1"/>
  <c r="R471" i="1"/>
  <c r="R181" i="1"/>
  <c r="R206" i="1"/>
  <c r="R380" i="1"/>
  <c r="R142" i="1"/>
  <c r="R187" i="1"/>
  <c r="R79" i="1"/>
  <c r="R442" i="1"/>
  <c r="R82" i="1"/>
  <c r="R67" i="1"/>
  <c r="R351" i="1"/>
  <c r="R336" i="1"/>
  <c r="R300" i="1"/>
  <c r="R240" i="1"/>
  <c r="R373" i="1"/>
  <c r="R146" i="1"/>
  <c r="R298" i="1"/>
  <c r="R348" i="1"/>
  <c r="R414" i="1"/>
  <c r="R478" i="1"/>
  <c r="R73" i="1"/>
  <c r="R94" i="1"/>
  <c r="R34" i="1"/>
  <c r="R499" i="1"/>
  <c r="R238" i="1"/>
  <c r="R338" i="1"/>
  <c r="R233" i="1"/>
  <c r="R114" i="1"/>
  <c r="R76" i="1"/>
  <c r="P92" i="1"/>
  <c r="P344" i="1"/>
  <c r="P169" i="1"/>
  <c r="P232" i="1"/>
  <c r="P211" i="1"/>
  <c r="P332" i="1"/>
  <c r="P149" i="1"/>
  <c r="P473" i="1"/>
  <c r="P11" i="1"/>
  <c r="P72" i="1"/>
  <c r="P468" i="1"/>
  <c r="P156" i="1"/>
  <c r="P272" i="1"/>
  <c r="P231" i="1"/>
  <c r="P124" i="1"/>
  <c r="Q124" i="1" s="1" a="1"/>
  <c r="Q124" i="1" s="1"/>
  <c r="P157" i="1"/>
  <c r="P474" i="1"/>
  <c r="P80" i="1"/>
  <c r="P317" i="1"/>
  <c r="P341" i="1"/>
  <c r="Q341" i="1" s="1" a="1"/>
  <c r="Q341" i="1" s="1"/>
  <c r="P402" i="1"/>
  <c r="P296" i="1"/>
  <c r="Q296" i="1" s="1" a="1"/>
  <c r="Q296" i="1" s="1"/>
  <c r="P398" i="1"/>
  <c r="P411" i="1"/>
  <c r="P416" i="1"/>
  <c r="P165" i="1"/>
  <c r="P168" i="1"/>
  <c r="P226" i="1"/>
  <c r="P176" i="1"/>
  <c r="P350" i="1"/>
  <c r="P397" i="1"/>
  <c r="AB397" i="1" s="1"/>
  <c r="P399" i="1"/>
  <c r="P110" i="1"/>
  <c r="P494" i="1"/>
  <c r="AB494" i="1" s="1"/>
  <c r="P141" i="1"/>
  <c r="P311" i="1"/>
  <c r="P109" i="1"/>
  <c r="P51" i="1"/>
  <c r="P458" i="1"/>
  <c r="P495" i="1"/>
  <c r="P273" i="1"/>
  <c r="P469" i="1"/>
  <c r="P424" i="1"/>
  <c r="P429" i="1"/>
  <c r="Q429" i="1" s="1" a="1"/>
  <c r="Q429" i="1" s="1"/>
  <c r="P137" i="1"/>
  <c r="P396" i="1"/>
  <c r="P353" i="1"/>
  <c r="P387" i="1"/>
  <c r="P276" i="1"/>
  <c r="P207" i="1"/>
  <c r="P484" i="1"/>
  <c r="P225" i="1"/>
  <c r="P455" i="1"/>
  <c r="P366" i="1"/>
  <c r="P492" i="1"/>
  <c r="P27" i="1"/>
  <c r="P213" i="1"/>
  <c r="P40" i="1"/>
  <c r="P147" i="1"/>
  <c r="P60" i="1"/>
  <c r="P417" i="1"/>
  <c r="P106" i="1"/>
  <c r="P178" i="1"/>
  <c r="P140" i="1"/>
  <c r="P314" i="1"/>
  <c r="P435" i="1"/>
  <c r="P172" i="1"/>
  <c r="P26" i="1"/>
  <c r="P113" i="1"/>
  <c r="P477" i="1"/>
  <c r="Q477" i="1" s="1" a="1"/>
  <c r="Q477" i="1" s="1"/>
  <c r="P434" i="1"/>
  <c r="P175" i="1"/>
  <c r="P35" i="1"/>
  <c r="P299" i="1"/>
  <c r="P454" i="1"/>
  <c r="P428" i="1"/>
  <c r="P480" i="1"/>
  <c r="Q480" i="1" s="1" a="1"/>
  <c r="Q480" i="1" s="1"/>
  <c r="P470" i="1"/>
  <c r="P152" i="1"/>
  <c r="P63" i="1"/>
  <c r="P361" i="1"/>
  <c r="AB361" i="1" s="1"/>
  <c r="P222" i="1"/>
  <c r="AB222" i="1" s="1"/>
  <c r="P210" i="1"/>
  <c r="Q210" i="1" s="1" a="1"/>
  <c r="Q210" i="1" s="1"/>
  <c r="P81" i="1"/>
  <c r="P221" i="1"/>
  <c r="P270" i="1"/>
  <c r="Q270" i="1" s="1" a="1"/>
  <c r="Q270" i="1" s="1"/>
  <c r="P357" i="1"/>
  <c r="P98" i="1"/>
  <c r="P216" i="1"/>
  <c r="P230" i="1"/>
  <c r="P144" i="1"/>
  <c r="P117" i="1"/>
  <c r="P52" i="1"/>
  <c r="P190" i="1"/>
  <c r="P37" i="1"/>
  <c r="P459" i="1"/>
  <c r="Q459" i="1" s="1" a="1"/>
  <c r="Q459" i="1" s="1"/>
  <c r="P29" i="1"/>
  <c r="Q29" i="1" s="1" a="1"/>
  <c r="Q29" i="1" s="1"/>
  <c r="P13" i="1"/>
  <c r="P180" i="1"/>
  <c r="P99" i="1"/>
  <c r="P293" i="1"/>
  <c r="P247" i="1"/>
  <c r="P359" i="1"/>
  <c r="P275" i="1"/>
  <c r="P15" i="1"/>
  <c r="P381" i="1"/>
  <c r="P7" i="1"/>
  <c r="P327" i="1"/>
  <c r="P271" i="1"/>
  <c r="P91" i="1"/>
  <c r="P391" i="1"/>
  <c r="P364" i="1"/>
  <c r="P390" i="1"/>
  <c r="P472" i="1"/>
  <c r="P274" i="1"/>
  <c r="P100" i="1"/>
  <c r="P292" i="1"/>
  <c r="P66" i="1"/>
  <c r="Q66" i="1" s="1" a="1"/>
  <c r="Q66" i="1" s="1"/>
  <c r="P21" i="1"/>
  <c r="P49" i="1"/>
  <c r="P199" i="1"/>
  <c r="P393" i="1"/>
  <c r="P173" i="1"/>
  <c r="P465" i="1"/>
  <c r="P50" i="1"/>
  <c r="P437" i="1"/>
  <c r="Q437" i="1" s="1" a="1"/>
  <c r="Q437" i="1" s="1"/>
  <c r="P208" i="1"/>
  <c r="P374" i="1"/>
  <c r="P489" i="1"/>
  <c r="P493" i="1"/>
  <c r="P356" i="1"/>
  <c r="AB356" i="1" s="1"/>
  <c r="P229" i="1"/>
  <c r="P306" i="1"/>
  <c r="P198" i="1"/>
  <c r="P406" i="1"/>
  <c r="P331" i="1"/>
  <c r="P74" i="1"/>
  <c r="Q74" i="1" s="1" a="1"/>
  <c r="Q74" i="1" s="1"/>
  <c r="P97" i="1"/>
  <c r="P337" i="1"/>
  <c r="P279" i="1"/>
  <c r="P53" i="1"/>
  <c r="P83" i="1"/>
  <c r="P161" i="1"/>
  <c r="Q161" i="1" s="1" a="1"/>
  <c r="Q161" i="1" s="1"/>
  <c r="P410" i="1"/>
  <c r="P282" i="1"/>
  <c r="P56" i="1"/>
  <c r="P177" i="1"/>
  <c r="P155" i="1"/>
  <c r="P467" i="1"/>
  <c r="P301" i="1"/>
  <c r="P304" i="1"/>
  <c r="P457" i="1"/>
  <c r="P32" i="1"/>
  <c r="P205" i="1"/>
  <c r="P287" i="1"/>
  <c r="AB287" i="1" s="1"/>
  <c r="P436" i="1"/>
  <c r="P476" i="1"/>
  <c r="P123" i="1"/>
  <c r="P316" i="1"/>
  <c r="P319" i="1"/>
  <c r="P329" i="1"/>
  <c r="P244" i="1"/>
  <c r="Q244" i="1" s="1" a="1"/>
  <c r="Q244" i="1" s="1"/>
  <c r="P321" i="1"/>
  <c r="P395" i="1"/>
  <c r="P203" i="1"/>
  <c r="P46" i="1"/>
  <c r="P290" i="1"/>
  <c r="P102" i="1"/>
  <c r="Q102" i="1" s="1" a="1"/>
  <c r="Q102" i="1" s="1"/>
  <c r="P89" i="1"/>
  <c r="P162" i="1"/>
  <c r="P438" i="1"/>
  <c r="Q438" i="1" s="1" a="1"/>
  <c r="Q438" i="1" s="1"/>
  <c r="P302" i="1"/>
  <c r="P88" i="1"/>
  <c r="P10" i="1"/>
  <c r="P118" i="1"/>
  <c r="P135" i="1"/>
  <c r="P378" i="1"/>
  <c r="P501" i="1"/>
  <c r="P227" i="1"/>
  <c r="P171" i="1"/>
  <c r="P189" i="1"/>
  <c r="Q189" i="1" s="1" a="1"/>
  <c r="Q189" i="1" s="1"/>
  <c r="P19" i="1"/>
  <c r="P70" i="1"/>
  <c r="P107" i="1"/>
  <c r="P119" i="1"/>
  <c r="P160" i="1"/>
  <c r="Q160" i="1" s="1" a="1"/>
  <c r="Q160" i="1" s="1"/>
  <c r="P130" i="1"/>
  <c r="P342" i="1"/>
  <c r="P204" i="1"/>
  <c r="P265" i="1"/>
  <c r="P385" i="1"/>
  <c r="P131" i="1"/>
  <c r="P431" i="1"/>
  <c r="P254" i="1"/>
  <c r="P358" i="1"/>
  <c r="P371" i="1"/>
  <c r="P249" i="1"/>
  <c r="P103" i="1"/>
  <c r="P163" i="1"/>
  <c r="P334" i="1"/>
  <c r="P286" i="1"/>
  <c r="P136" i="1"/>
  <c r="AB136" i="1" s="1"/>
  <c r="P460" i="1"/>
  <c r="P186" i="1"/>
  <c r="P78" i="1"/>
  <c r="P42" i="1"/>
  <c r="Q42" i="1" s="1" a="1"/>
  <c r="Q42" i="1" s="1"/>
  <c r="P303" i="1"/>
  <c r="P101" i="1"/>
  <c r="P191" i="1"/>
  <c r="Q191" i="1" s="1" a="1"/>
  <c r="Q191" i="1" s="1"/>
  <c r="P486" i="1"/>
  <c r="P195" i="1"/>
  <c r="P439" i="1"/>
  <c r="P369" i="1"/>
  <c r="AB369" i="1" s="1"/>
  <c r="P330" i="1"/>
  <c r="P479" i="1"/>
  <c r="P24" i="1"/>
  <c r="P419" i="1"/>
  <c r="P194" i="1"/>
  <c r="P451" i="1"/>
  <c r="P449" i="1"/>
  <c r="P44" i="1"/>
  <c r="Q44" i="1" s="1" a="1"/>
  <c r="Q44" i="1" s="1"/>
  <c r="P212" i="1"/>
  <c r="P235" i="1"/>
  <c r="P234" i="1"/>
  <c r="P43" i="1"/>
  <c r="AB43" i="1" s="1"/>
  <c r="P220" i="1"/>
  <c r="P104" i="1"/>
  <c r="Q104" i="1" s="1" a="1"/>
  <c r="Q104" i="1" s="1"/>
  <c r="P93" i="1"/>
  <c r="P322" i="1"/>
  <c r="Q322" i="1" s="1" a="1"/>
  <c r="Q322" i="1" s="1"/>
  <c r="P485" i="1"/>
  <c r="P335" i="1"/>
  <c r="P223" i="1"/>
  <c r="P12" i="1"/>
  <c r="AB12" i="1" s="1"/>
  <c r="P115" i="1"/>
  <c r="P407" i="1"/>
  <c r="P487" i="1"/>
  <c r="P412" i="1"/>
  <c r="P6" i="1"/>
  <c r="P77" i="1"/>
  <c r="P427" i="1"/>
  <c r="P376" i="1"/>
  <c r="AB376" i="1" s="1"/>
  <c r="P441" i="1"/>
  <c r="P490" i="1"/>
  <c r="P448" i="1"/>
  <c r="P389" i="1"/>
  <c r="Q389" i="1" s="1" a="1"/>
  <c r="Q389" i="1" s="1"/>
  <c r="P202" i="1"/>
  <c r="P237" i="1"/>
  <c r="Q237" i="1" s="1" a="1"/>
  <c r="Q237" i="1" s="1"/>
  <c r="P257" i="1"/>
  <c r="P307" i="1"/>
  <c r="P3" i="1"/>
  <c r="P463" i="1"/>
  <c r="P269" i="1"/>
  <c r="Q269" i="1" s="1" a="1"/>
  <c r="Q269" i="1" s="1"/>
  <c r="P392" i="1"/>
  <c r="P61" i="1"/>
  <c r="P420" i="1"/>
  <c r="P45" i="1"/>
  <c r="P318" i="1"/>
  <c r="P85" i="1"/>
  <c r="P192" i="1"/>
  <c r="P259" i="1"/>
  <c r="P84" i="1"/>
  <c r="P128" i="1"/>
  <c r="P433" i="1"/>
  <c r="P444" i="1"/>
  <c r="P288" i="1"/>
  <c r="P278" i="1"/>
  <c r="P215" i="1"/>
  <c r="P462" i="1"/>
  <c r="P133" i="1"/>
  <c r="Q133" i="1" s="1" a="1"/>
  <c r="Q133" i="1" s="1"/>
  <c r="P121" i="1"/>
  <c r="P125" i="1"/>
  <c r="P283" i="1"/>
  <c r="P483" i="1"/>
  <c r="P253" i="1"/>
  <c r="AB253" i="1" s="1"/>
  <c r="P25" i="1"/>
  <c r="P418" i="1"/>
  <c r="P309" i="1"/>
  <c r="P488" i="1"/>
  <c r="P90" i="1"/>
  <c r="P461" i="1"/>
  <c r="Q461" i="1" s="1" a="1"/>
  <c r="Q461" i="1" s="1"/>
  <c r="P65" i="1"/>
  <c r="P87" i="1"/>
  <c r="P430" i="1"/>
  <c r="P328" i="1"/>
  <c r="P4" i="1"/>
  <c r="P394" i="1"/>
  <c r="Q394" i="1" s="1" a="1"/>
  <c r="Q394" i="1" s="1"/>
  <c r="P154" i="1"/>
  <c r="P39" i="1"/>
  <c r="P64" i="1"/>
  <c r="P218" i="1"/>
  <c r="Q218" i="1" s="1" a="1"/>
  <c r="Q218" i="1" s="1"/>
  <c r="P193" i="1"/>
  <c r="P224" i="1"/>
  <c r="P401" i="1"/>
  <c r="P47" i="1"/>
  <c r="P174" i="1"/>
  <c r="P345" i="1"/>
  <c r="P400" i="1"/>
  <c r="P325" i="1"/>
  <c r="AB325" i="1" s="1"/>
  <c r="P446" i="1"/>
  <c r="P158" i="1"/>
  <c r="P264" i="1"/>
  <c r="P28" i="1"/>
  <c r="P38" i="1"/>
  <c r="P266" i="1"/>
  <c r="P305" i="1"/>
  <c r="P258" i="1"/>
  <c r="P450" i="1"/>
  <c r="P16" i="1"/>
  <c r="P308" i="1"/>
  <c r="P252" i="1"/>
  <c r="P20" i="1"/>
  <c r="P251" i="1"/>
  <c r="P164" i="1"/>
  <c r="P367" i="1"/>
  <c r="P54" i="1"/>
  <c r="P236" i="1"/>
  <c r="P96" i="1"/>
  <c r="Q96" i="1" s="1" a="1"/>
  <c r="Q96" i="1" s="1"/>
  <c r="P365" i="1"/>
  <c r="P116" i="1"/>
  <c r="P250" i="1"/>
  <c r="P498" i="1"/>
  <c r="Q498" i="1" s="1" a="1"/>
  <c r="Q498" i="1" s="1"/>
  <c r="P268" i="1"/>
  <c r="P294" i="1"/>
  <c r="P466" i="1"/>
  <c r="P5" i="1"/>
  <c r="P284" i="1"/>
  <c r="P370" i="1"/>
  <c r="Q370" i="1" s="1" a="1"/>
  <c r="Q370" i="1" s="1"/>
  <c r="P8" i="1"/>
  <c r="P166" i="1"/>
  <c r="P343" i="1"/>
  <c r="P36" i="1"/>
  <c r="P481" i="1"/>
  <c r="Q481" i="1" s="1" a="1"/>
  <c r="Q481" i="1" s="1"/>
  <c r="P145" i="1"/>
  <c r="P497" i="1"/>
  <c r="AB497" i="1" s="1"/>
  <c r="P33" i="1"/>
  <c r="P289" i="1"/>
  <c r="Q289" i="1" s="1" a="1"/>
  <c r="Q289" i="1" s="1"/>
  <c r="P388" i="1"/>
  <c r="P108" i="1"/>
  <c r="P346" i="1"/>
  <c r="P285" i="1"/>
  <c r="P111" i="1"/>
  <c r="P69" i="1"/>
  <c r="P443" i="1"/>
  <c r="AB443" i="1" s="1"/>
  <c r="P500" i="1"/>
  <c r="P491" i="1"/>
  <c r="P408" i="1"/>
  <c r="P245" i="1"/>
  <c r="P197" i="1"/>
  <c r="P326" i="1"/>
  <c r="P167" i="1"/>
  <c r="P188" i="1"/>
  <c r="P58" i="1"/>
  <c r="P185" i="1"/>
  <c r="P105" i="1"/>
  <c r="P277" i="1"/>
  <c r="P456" i="1"/>
  <c r="P355" i="1"/>
  <c r="P246" i="1"/>
  <c r="P432" i="1"/>
  <c r="P209" i="1"/>
  <c r="P310" i="1"/>
  <c r="P139" i="1"/>
  <c r="P447" i="1"/>
  <c r="P384" i="1"/>
  <c r="P347" i="1"/>
  <c r="Q347" i="1" s="1" a="1"/>
  <c r="Q347" i="1" s="1"/>
  <c r="P379" i="1"/>
  <c r="AB379" i="1" s="1"/>
  <c r="P409" i="1"/>
  <c r="Q409" i="1" s="1" a="1"/>
  <c r="Q409" i="1" s="1"/>
  <c r="P112" i="1"/>
  <c r="P57" i="1"/>
  <c r="P482" i="1"/>
  <c r="P475" i="1"/>
  <c r="P362" i="1"/>
  <c r="Q362" i="1" s="1" a="1"/>
  <c r="Q362" i="1" s="1"/>
  <c r="P18" i="1"/>
  <c r="P281" i="1"/>
  <c r="P297" i="1"/>
  <c r="Q297" i="1" s="1" a="1"/>
  <c r="Q297" i="1" s="1"/>
  <c r="P421" i="1"/>
  <c r="P138" i="1"/>
  <c r="P313" i="1"/>
  <c r="AB313" i="1" s="1"/>
  <c r="P339" i="1"/>
  <c r="P405" i="1"/>
  <c r="P120" i="1"/>
  <c r="P256" i="1"/>
  <c r="P404" i="1"/>
  <c r="P153" i="1"/>
  <c r="Q153" i="1" s="1" a="1"/>
  <c r="Q153" i="1" s="1"/>
  <c r="P360" i="1"/>
  <c r="P425" i="1"/>
  <c r="P127" i="1"/>
  <c r="P183" i="1"/>
  <c r="P14" i="1"/>
  <c r="P62" i="1"/>
  <c r="P320" i="1"/>
  <c r="P2" i="1"/>
  <c r="P295" i="1"/>
  <c r="P86" i="1"/>
  <c r="AB86" i="1" s="1"/>
  <c r="P95" i="1"/>
  <c r="P71" i="1"/>
  <c r="P323" i="1"/>
  <c r="Q323" i="1" s="1" a="1"/>
  <c r="Q323" i="1" s="1"/>
  <c r="P41" i="1"/>
  <c r="P68" i="1"/>
  <c r="P214" i="1"/>
  <c r="P352" i="1"/>
  <c r="P217" i="1"/>
  <c r="Q217" i="1" s="1" a="1"/>
  <c r="Q217" i="1" s="1"/>
  <c r="P148" i="1"/>
  <c r="P413" i="1"/>
  <c r="Q413" i="1" s="1" a="1"/>
  <c r="Q413" i="1" s="1"/>
  <c r="P372" i="1"/>
  <c r="Q372" i="1" s="1" a="1"/>
  <c r="Q372" i="1" s="1"/>
  <c r="P375" i="1"/>
  <c r="P261" i="1"/>
  <c r="P263" i="1"/>
  <c r="Q263" i="1" s="1" a="1"/>
  <c r="Q263" i="1" s="1"/>
  <c r="P260" i="1"/>
  <c r="P464" i="1"/>
  <c r="P453" i="1"/>
  <c r="Q453" i="1" s="1" a="1"/>
  <c r="Q453" i="1" s="1"/>
  <c r="P440" i="1"/>
  <c r="P422" i="1"/>
  <c r="P201" i="1"/>
  <c r="P184" i="1"/>
  <c r="P262" i="1"/>
  <c r="P196" i="1"/>
  <c r="P242" i="1"/>
  <c r="P324" i="1"/>
  <c r="P22" i="1"/>
  <c r="P445" i="1"/>
  <c r="P122" i="1"/>
  <c r="P452" i="1"/>
  <c r="P496" i="1"/>
  <c r="P151" i="1"/>
  <c r="P228" i="1"/>
  <c r="P17" i="1"/>
  <c r="P382" i="1"/>
  <c r="P239" i="1"/>
  <c r="P403" i="1"/>
  <c r="P182" i="1"/>
  <c r="Q182" i="1" s="1" a="1"/>
  <c r="Q182" i="1" s="1"/>
  <c r="P426" i="1"/>
  <c r="P243" i="1"/>
  <c r="Q243" i="1" s="1" a="1"/>
  <c r="Q243" i="1" s="1"/>
  <c r="P312" i="1"/>
  <c r="P386" i="1"/>
  <c r="Q386" i="1" s="1" a="1"/>
  <c r="Q386" i="1" s="1"/>
  <c r="P59" i="1"/>
  <c r="P349" i="1"/>
  <c r="P48" i="1"/>
  <c r="P333" i="1"/>
  <c r="P423" i="1"/>
  <c r="P368" i="1"/>
  <c r="P129" i="1"/>
  <c r="P315" i="1"/>
  <c r="Q315" i="1" s="1" a="1"/>
  <c r="Q315" i="1" s="1"/>
  <c r="P280" i="1"/>
  <c r="P126" i="1"/>
  <c r="P55" i="1"/>
  <c r="P340" i="1"/>
  <c r="P170" i="1"/>
  <c r="P31" i="1"/>
  <c r="P75" i="1"/>
  <c r="Q75" i="1" s="1" a="1"/>
  <c r="Q75" i="1" s="1"/>
  <c r="P132" i="1"/>
  <c r="Q132" i="1" s="1" a="1"/>
  <c r="Q132" i="1" s="1"/>
  <c r="P9" i="1"/>
  <c r="Q9" i="1" s="1" a="1"/>
  <c r="Q9" i="1" s="1"/>
  <c r="P363" i="1"/>
  <c r="P219" i="1"/>
  <c r="P267" i="1"/>
  <c r="P200" i="1"/>
  <c r="P150" i="1"/>
  <c r="P143" i="1"/>
  <c r="P248" i="1"/>
  <c r="P241" i="1"/>
  <c r="P291" i="1"/>
  <c r="P377" i="1"/>
  <c r="P383" i="1"/>
  <c r="AB383" i="1" s="1"/>
  <c r="P134" i="1"/>
  <c r="P415" i="1"/>
  <c r="P354" i="1"/>
  <c r="AB354" i="1" s="1"/>
  <c r="P255" i="1"/>
  <c r="P179" i="1"/>
  <c r="P159" i="1"/>
  <c r="AB159" i="1" s="1"/>
  <c r="P23" i="1"/>
  <c r="P30" i="1"/>
  <c r="P471" i="1"/>
  <c r="P181" i="1"/>
  <c r="P206" i="1"/>
  <c r="P380" i="1"/>
  <c r="P142" i="1"/>
  <c r="P187" i="1"/>
  <c r="P79" i="1"/>
  <c r="P442" i="1"/>
  <c r="P82" i="1"/>
  <c r="P67" i="1"/>
  <c r="P351" i="1"/>
  <c r="P336" i="1"/>
  <c r="P300" i="1"/>
  <c r="P240" i="1"/>
  <c r="P373" i="1"/>
  <c r="P146" i="1"/>
  <c r="AB146" i="1" s="1"/>
  <c r="P298" i="1"/>
  <c r="P348" i="1"/>
  <c r="Q348" i="1" s="1" a="1"/>
  <c r="Q348" i="1" s="1"/>
  <c r="P414" i="1"/>
  <c r="Q414" i="1" s="1" a="1"/>
  <c r="Q414" i="1" s="1"/>
  <c r="P478" i="1"/>
  <c r="P73" i="1"/>
  <c r="P94" i="1"/>
  <c r="P34" i="1"/>
  <c r="P499" i="1"/>
  <c r="P238" i="1"/>
  <c r="P338" i="1"/>
  <c r="P233" i="1"/>
  <c r="P114" i="1"/>
  <c r="P76" i="1"/>
  <c r="N92" i="1"/>
  <c r="O92" i="1" s="1"/>
  <c r="N344" i="1"/>
  <c r="O344" i="1" s="1"/>
  <c r="N169" i="1"/>
  <c r="O169" i="1" s="1"/>
  <c r="N232" i="1"/>
  <c r="O232" i="1" s="1"/>
  <c r="N211" i="1"/>
  <c r="O211" i="1" s="1"/>
  <c r="N332" i="1"/>
  <c r="O332" i="1" s="1"/>
  <c r="N149" i="1"/>
  <c r="O149" i="1" s="1"/>
  <c r="N473" i="1"/>
  <c r="O473" i="1" s="1"/>
  <c r="N11" i="1"/>
  <c r="O11" i="1" s="1"/>
  <c r="N72" i="1"/>
  <c r="O72" i="1" s="1"/>
  <c r="N468" i="1"/>
  <c r="O468" i="1" s="1"/>
  <c r="N156" i="1"/>
  <c r="O156" i="1" s="1"/>
  <c r="N272" i="1"/>
  <c r="O272" i="1" s="1"/>
  <c r="N231" i="1"/>
  <c r="O231" i="1" s="1"/>
  <c r="N124" i="1"/>
  <c r="O124" i="1" s="1"/>
  <c r="N157" i="1"/>
  <c r="O157" i="1" s="1"/>
  <c r="N474" i="1"/>
  <c r="O474" i="1" s="1"/>
  <c r="N80" i="1"/>
  <c r="O80" i="1" s="1"/>
  <c r="N317" i="1"/>
  <c r="O317" i="1" s="1"/>
  <c r="N341" i="1"/>
  <c r="O341" i="1" s="1"/>
  <c r="N402" i="1"/>
  <c r="O402" i="1" s="1"/>
  <c r="N296" i="1"/>
  <c r="O296" i="1" s="1"/>
  <c r="N398" i="1"/>
  <c r="O398" i="1" s="1"/>
  <c r="N411" i="1"/>
  <c r="O411" i="1" s="1"/>
  <c r="N416" i="1"/>
  <c r="O416" i="1" s="1"/>
  <c r="N165" i="1"/>
  <c r="O165" i="1" s="1"/>
  <c r="N168" i="1"/>
  <c r="O168" i="1" s="1"/>
  <c r="N226" i="1"/>
  <c r="O226" i="1" s="1"/>
  <c r="N176" i="1"/>
  <c r="O176" i="1" s="1"/>
  <c r="N350" i="1"/>
  <c r="O350" i="1" s="1"/>
  <c r="N397" i="1"/>
  <c r="O397" i="1" s="1"/>
  <c r="N399" i="1"/>
  <c r="O399" i="1" s="1"/>
  <c r="N110" i="1"/>
  <c r="O110" i="1" s="1"/>
  <c r="N494" i="1"/>
  <c r="O494" i="1" s="1"/>
  <c r="N141" i="1"/>
  <c r="O141" i="1" s="1"/>
  <c r="N311" i="1"/>
  <c r="O311" i="1" s="1"/>
  <c r="N109" i="1"/>
  <c r="O109" i="1" s="1"/>
  <c r="N51" i="1"/>
  <c r="O51" i="1" s="1"/>
  <c r="N458" i="1"/>
  <c r="O458" i="1" s="1"/>
  <c r="N495" i="1"/>
  <c r="O495" i="1" s="1"/>
  <c r="N273" i="1"/>
  <c r="O273" i="1" s="1"/>
  <c r="N469" i="1"/>
  <c r="O469" i="1" s="1"/>
  <c r="N424" i="1"/>
  <c r="O424" i="1" s="1"/>
  <c r="N429" i="1"/>
  <c r="O429" i="1" s="1"/>
  <c r="N137" i="1"/>
  <c r="O137" i="1" s="1"/>
  <c r="N396" i="1"/>
  <c r="O396" i="1" s="1"/>
  <c r="N353" i="1"/>
  <c r="O353" i="1" s="1"/>
  <c r="N387" i="1"/>
  <c r="O387" i="1" s="1"/>
  <c r="N276" i="1"/>
  <c r="O276" i="1" s="1"/>
  <c r="N207" i="1"/>
  <c r="O207" i="1" s="1"/>
  <c r="N484" i="1"/>
  <c r="O484" i="1" s="1"/>
  <c r="N225" i="1"/>
  <c r="O225" i="1" s="1"/>
  <c r="N455" i="1"/>
  <c r="O455" i="1" s="1"/>
  <c r="N366" i="1"/>
  <c r="O366" i="1" s="1"/>
  <c r="N492" i="1"/>
  <c r="O492" i="1" s="1"/>
  <c r="N27" i="1"/>
  <c r="O27" i="1" s="1"/>
  <c r="N213" i="1"/>
  <c r="O213" i="1" s="1"/>
  <c r="N40" i="1"/>
  <c r="O40" i="1" s="1"/>
  <c r="N147" i="1"/>
  <c r="O147" i="1" s="1"/>
  <c r="N60" i="1"/>
  <c r="O60" i="1" s="1"/>
  <c r="N417" i="1"/>
  <c r="O417" i="1" s="1"/>
  <c r="N106" i="1"/>
  <c r="O106" i="1" s="1"/>
  <c r="N178" i="1"/>
  <c r="O178" i="1" s="1"/>
  <c r="N140" i="1"/>
  <c r="O140" i="1" s="1"/>
  <c r="N314" i="1"/>
  <c r="O314" i="1" s="1"/>
  <c r="N435" i="1"/>
  <c r="O435" i="1" s="1"/>
  <c r="N172" i="1"/>
  <c r="O172" i="1" s="1"/>
  <c r="N26" i="1"/>
  <c r="O26" i="1" s="1"/>
  <c r="N113" i="1"/>
  <c r="O113" i="1" s="1"/>
  <c r="N477" i="1"/>
  <c r="O477" i="1" s="1"/>
  <c r="N434" i="1"/>
  <c r="O434" i="1" s="1"/>
  <c r="N175" i="1"/>
  <c r="O175" i="1" s="1"/>
  <c r="N35" i="1"/>
  <c r="O35" i="1" s="1"/>
  <c r="N299" i="1"/>
  <c r="O299" i="1" s="1"/>
  <c r="N454" i="1"/>
  <c r="O454" i="1" s="1"/>
  <c r="N428" i="1"/>
  <c r="O428" i="1" s="1"/>
  <c r="N480" i="1"/>
  <c r="O480" i="1" s="1"/>
  <c r="N470" i="1"/>
  <c r="O470" i="1" s="1"/>
  <c r="N152" i="1"/>
  <c r="O152" i="1" s="1"/>
  <c r="N63" i="1"/>
  <c r="O63" i="1" s="1"/>
  <c r="N361" i="1"/>
  <c r="O361" i="1" s="1"/>
  <c r="N222" i="1"/>
  <c r="O222" i="1" s="1"/>
  <c r="N210" i="1"/>
  <c r="O210" i="1" s="1"/>
  <c r="N81" i="1"/>
  <c r="O81" i="1" s="1"/>
  <c r="N221" i="1"/>
  <c r="O221" i="1" s="1"/>
  <c r="N270" i="1"/>
  <c r="O270" i="1" s="1"/>
  <c r="N357" i="1"/>
  <c r="O357" i="1" s="1"/>
  <c r="N98" i="1"/>
  <c r="O98" i="1" s="1"/>
  <c r="N216" i="1"/>
  <c r="O216" i="1" s="1"/>
  <c r="N230" i="1"/>
  <c r="O230" i="1" s="1"/>
  <c r="N144" i="1"/>
  <c r="O144" i="1" s="1"/>
  <c r="N117" i="1"/>
  <c r="O117" i="1" s="1"/>
  <c r="N52" i="1"/>
  <c r="O52" i="1" s="1"/>
  <c r="N190" i="1"/>
  <c r="O190" i="1" s="1"/>
  <c r="N37" i="1"/>
  <c r="O37" i="1" s="1"/>
  <c r="N459" i="1"/>
  <c r="O459" i="1" s="1"/>
  <c r="N29" i="1"/>
  <c r="O29" i="1" s="1"/>
  <c r="N13" i="1"/>
  <c r="O13" i="1" s="1"/>
  <c r="N180" i="1"/>
  <c r="O180" i="1" s="1"/>
  <c r="N99" i="1"/>
  <c r="O99" i="1" s="1"/>
  <c r="N293" i="1"/>
  <c r="O293" i="1" s="1"/>
  <c r="N247" i="1"/>
  <c r="O247" i="1" s="1"/>
  <c r="N359" i="1"/>
  <c r="O359" i="1" s="1"/>
  <c r="N275" i="1"/>
  <c r="O275" i="1" s="1"/>
  <c r="N15" i="1"/>
  <c r="O15" i="1" s="1"/>
  <c r="N381" i="1"/>
  <c r="O381" i="1" s="1"/>
  <c r="N7" i="1"/>
  <c r="O7" i="1" s="1"/>
  <c r="N327" i="1"/>
  <c r="O327" i="1" s="1"/>
  <c r="N271" i="1"/>
  <c r="O271" i="1" s="1"/>
  <c r="N91" i="1"/>
  <c r="O91" i="1" s="1"/>
  <c r="N391" i="1"/>
  <c r="O391" i="1" s="1"/>
  <c r="N364" i="1"/>
  <c r="O364" i="1" s="1"/>
  <c r="N390" i="1"/>
  <c r="O390" i="1" s="1"/>
  <c r="N472" i="1"/>
  <c r="O472" i="1" s="1"/>
  <c r="N274" i="1"/>
  <c r="O274" i="1" s="1"/>
  <c r="N100" i="1"/>
  <c r="O100" i="1" s="1"/>
  <c r="N292" i="1"/>
  <c r="O292" i="1" s="1"/>
  <c r="N66" i="1"/>
  <c r="O66" i="1" s="1"/>
  <c r="N21" i="1"/>
  <c r="O21" i="1" s="1"/>
  <c r="N49" i="1"/>
  <c r="O49" i="1" s="1"/>
  <c r="N199" i="1"/>
  <c r="O199" i="1" s="1"/>
  <c r="N393" i="1"/>
  <c r="O393" i="1" s="1"/>
  <c r="N173" i="1"/>
  <c r="O173" i="1" s="1"/>
  <c r="N465" i="1"/>
  <c r="O465" i="1" s="1"/>
  <c r="N50" i="1"/>
  <c r="O50" i="1" s="1"/>
  <c r="N437" i="1"/>
  <c r="O437" i="1" s="1"/>
  <c r="N208" i="1"/>
  <c r="O208" i="1" s="1"/>
  <c r="N374" i="1"/>
  <c r="O374" i="1" s="1"/>
  <c r="N489" i="1"/>
  <c r="O489" i="1" s="1"/>
  <c r="N493" i="1"/>
  <c r="O493" i="1" s="1"/>
  <c r="N356" i="1"/>
  <c r="O356" i="1" s="1"/>
  <c r="N229" i="1"/>
  <c r="O229" i="1" s="1"/>
  <c r="N306" i="1"/>
  <c r="O306" i="1" s="1"/>
  <c r="N198" i="1"/>
  <c r="O198" i="1" s="1"/>
  <c r="N406" i="1"/>
  <c r="O406" i="1" s="1"/>
  <c r="N331" i="1"/>
  <c r="O331" i="1" s="1"/>
  <c r="N74" i="1"/>
  <c r="O74" i="1" s="1"/>
  <c r="N97" i="1"/>
  <c r="O97" i="1" s="1"/>
  <c r="N337" i="1"/>
  <c r="O337" i="1" s="1"/>
  <c r="N279" i="1"/>
  <c r="O279" i="1" s="1"/>
  <c r="N53" i="1"/>
  <c r="O53" i="1" s="1"/>
  <c r="N83" i="1"/>
  <c r="O83" i="1" s="1"/>
  <c r="N161" i="1"/>
  <c r="O161" i="1" s="1"/>
  <c r="N410" i="1"/>
  <c r="O410" i="1" s="1"/>
  <c r="N282" i="1"/>
  <c r="O282" i="1" s="1"/>
  <c r="N56" i="1"/>
  <c r="O56" i="1" s="1"/>
  <c r="N177" i="1"/>
  <c r="O177" i="1" s="1"/>
  <c r="N155" i="1"/>
  <c r="O155" i="1" s="1"/>
  <c r="N467" i="1"/>
  <c r="O467" i="1" s="1"/>
  <c r="N301" i="1"/>
  <c r="O301" i="1" s="1"/>
  <c r="N304" i="1"/>
  <c r="O304" i="1" s="1"/>
  <c r="N457" i="1"/>
  <c r="O457" i="1" s="1"/>
  <c r="N32" i="1"/>
  <c r="O32" i="1" s="1"/>
  <c r="N205" i="1"/>
  <c r="O205" i="1" s="1"/>
  <c r="N287" i="1"/>
  <c r="O287" i="1" s="1"/>
  <c r="N436" i="1"/>
  <c r="O436" i="1" s="1"/>
  <c r="N476" i="1"/>
  <c r="O476" i="1" s="1"/>
  <c r="N123" i="1"/>
  <c r="O123" i="1" s="1"/>
  <c r="N316" i="1"/>
  <c r="O316" i="1" s="1"/>
  <c r="N319" i="1"/>
  <c r="O319" i="1" s="1"/>
  <c r="N329" i="1"/>
  <c r="O329" i="1" s="1"/>
  <c r="N244" i="1"/>
  <c r="O244" i="1" s="1"/>
  <c r="N321" i="1"/>
  <c r="O321" i="1" s="1"/>
  <c r="N395" i="1"/>
  <c r="O395" i="1" s="1"/>
  <c r="N203" i="1"/>
  <c r="O203" i="1" s="1"/>
  <c r="N46" i="1"/>
  <c r="O46" i="1" s="1"/>
  <c r="N290" i="1"/>
  <c r="O290" i="1" s="1"/>
  <c r="N102" i="1"/>
  <c r="O102" i="1" s="1"/>
  <c r="N89" i="1"/>
  <c r="O89" i="1" s="1"/>
  <c r="N162" i="1"/>
  <c r="O162" i="1" s="1"/>
  <c r="N438" i="1"/>
  <c r="O438" i="1" s="1"/>
  <c r="N302" i="1"/>
  <c r="O302" i="1" s="1"/>
  <c r="N88" i="1"/>
  <c r="O88" i="1" s="1"/>
  <c r="N10" i="1"/>
  <c r="O10" i="1" s="1"/>
  <c r="N118" i="1"/>
  <c r="O118" i="1" s="1"/>
  <c r="N135" i="1"/>
  <c r="O135" i="1" s="1"/>
  <c r="N378" i="1"/>
  <c r="O378" i="1" s="1"/>
  <c r="N501" i="1"/>
  <c r="O501" i="1" s="1"/>
  <c r="N227" i="1"/>
  <c r="O227" i="1" s="1"/>
  <c r="N171" i="1"/>
  <c r="O171" i="1" s="1"/>
  <c r="N189" i="1"/>
  <c r="O189" i="1" s="1"/>
  <c r="N19" i="1"/>
  <c r="O19" i="1" s="1"/>
  <c r="N70" i="1"/>
  <c r="O70" i="1" s="1"/>
  <c r="N107" i="1"/>
  <c r="O107" i="1" s="1"/>
  <c r="N119" i="1"/>
  <c r="O119" i="1" s="1"/>
  <c r="N160" i="1"/>
  <c r="O160" i="1" s="1"/>
  <c r="N130" i="1"/>
  <c r="O130" i="1" s="1"/>
  <c r="N342" i="1"/>
  <c r="O342" i="1" s="1"/>
  <c r="N204" i="1"/>
  <c r="O204" i="1" s="1"/>
  <c r="N265" i="1"/>
  <c r="O265" i="1" s="1"/>
  <c r="N385" i="1"/>
  <c r="O385" i="1" s="1"/>
  <c r="N131" i="1"/>
  <c r="O131" i="1" s="1"/>
  <c r="N431" i="1"/>
  <c r="O431" i="1" s="1"/>
  <c r="N254" i="1"/>
  <c r="O254" i="1" s="1"/>
  <c r="N358" i="1"/>
  <c r="O358" i="1" s="1"/>
  <c r="N371" i="1"/>
  <c r="O371" i="1" s="1"/>
  <c r="N249" i="1"/>
  <c r="O249" i="1" s="1"/>
  <c r="N103" i="1"/>
  <c r="O103" i="1" s="1"/>
  <c r="N163" i="1"/>
  <c r="O163" i="1" s="1"/>
  <c r="N334" i="1"/>
  <c r="O334" i="1" s="1"/>
  <c r="N286" i="1"/>
  <c r="O286" i="1" s="1"/>
  <c r="N136" i="1"/>
  <c r="O136" i="1" s="1"/>
  <c r="N460" i="1"/>
  <c r="O460" i="1" s="1"/>
  <c r="N186" i="1"/>
  <c r="O186" i="1" s="1"/>
  <c r="N78" i="1"/>
  <c r="O78" i="1" s="1"/>
  <c r="N42" i="1"/>
  <c r="O42" i="1" s="1"/>
  <c r="N303" i="1"/>
  <c r="O303" i="1" s="1"/>
  <c r="N101" i="1"/>
  <c r="O101" i="1" s="1"/>
  <c r="N191" i="1"/>
  <c r="O191" i="1" s="1"/>
  <c r="N486" i="1"/>
  <c r="O486" i="1" s="1"/>
  <c r="N195" i="1"/>
  <c r="O195" i="1" s="1"/>
  <c r="N439" i="1"/>
  <c r="O439" i="1" s="1"/>
  <c r="N369" i="1"/>
  <c r="O369" i="1" s="1"/>
  <c r="N330" i="1"/>
  <c r="O330" i="1" s="1"/>
  <c r="N479" i="1"/>
  <c r="O479" i="1" s="1"/>
  <c r="N24" i="1"/>
  <c r="O24" i="1" s="1"/>
  <c r="N419" i="1"/>
  <c r="O419" i="1" s="1"/>
  <c r="N194" i="1"/>
  <c r="O194" i="1" s="1"/>
  <c r="N451" i="1"/>
  <c r="O451" i="1" s="1"/>
  <c r="N449" i="1"/>
  <c r="O449" i="1" s="1"/>
  <c r="N44" i="1"/>
  <c r="O44" i="1" s="1"/>
  <c r="N212" i="1"/>
  <c r="O212" i="1" s="1"/>
  <c r="N235" i="1"/>
  <c r="O235" i="1" s="1"/>
  <c r="N234" i="1"/>
  <c r="O234" i="1" s="1"/>
  <c r="N43" i="1"/>
  <c r="O43" i="1" s="1"/>
  <c r="N220" i="1"/>
  <c r="O220" i="1" s="1"/>
  <c r="N104" i="1"/>
  <c r="O104" i="1" s="1"/>
  <c r="N93" i="1"/>
  <c r="O93" i="1" s="1"/>
  <c r="N322" i="1"/>
  <c r="O322" i="1" s="1"/>
  <c r="N485" i="1"/>
  <c r="O485" i="1" s="1"/>
  <c r="N335" i="1"/>
  <c r="O335" i="1" s="1"/>
  <c r="N223" i="1"/>
  <c r="O223" i="1" s="1"/>
  <c r="N12" i="1"/>
  <c r="O12" i="1" s="1"/>
  <c r="N115" i="1"/>
  <c r="O115" i="1" s="1"/>
  <c r="N407" i="1"/>
  <c r="O407" i="1" s="1"/>
  <c r="N487" i="1"/>
  <c r="O487" i="1" s="1"/>
  <c r="N412" i="1"/>
  <c r="O412" i="1" s="1"/>
  <c r="N6" i="1"/>
  <c r="O6" i="1" s="1"/>
  <c r="N77" i="1"/>
  <c r="O77" i="1" s="1"/>
  <c r="N427" i="1"/>
  <c r="O427" i="1" s="1"/>
  <c r="N376" i="1"/>
  <c r="O376" i="1" s="1"/>
  <c r="N441" i="1"/>
  <c r="O441" i="1" s="1"/>
  <c r="N490" i="1"/>
  <c r="O490" i="1" s="1"/>
  <c r="N448" i="1"/>
  <c r="O448" i="1" s="1"/>
  <c r="N389" i="1"/>
  <c r="O389" i="1" s="1"/>
  <c r="N202" i="1"/>
  <c r="O202" i="1" s="1"/>
  <c r="N237" i="1"/>
  <c r="O237" i="1" s="1"/>
  <c r="N257" i="1"/>
  <c r="O257" i="1" s="1"/>
  <c r="N307" i="1"/>
  <c r="O307" i="1" s="1"/>
  <c r="N3" i="1"/>
  <c r="O3" i="1" s="1"/>
  <c r="N463" i="1"/>
  <c r="O463" i="1" s="1"/>
  <c r="N269" i="1"/>
  <c r="O269" i="1" s="1"/>
  <c r="N392" i="1"/>
  <c r="O392" i="1" s="1"/>
  <c r="N61" i="1"/>
  <c r="O61" i="1" s="1"/>
  <c r="N420" i="1"/>
  <c r="O420" i="1" s="1"/>
  <c r="N45" i="1"/>
  <c r="O45" i="1" s="1"/>
  <c r="N318" i="1"/>
  <c r="O318" i="1" s="1"/>
  <c r="N85" i="1"/>
  <c r="O85" i="1" s="1"/>
  <c r="N192" i="1"/>
  <c r="O192" i="1" s="1"/>
  <c r="N259" i="1"/>
  <c r="O259" i="1" s="1"/>
  <c r="N84" i="1"/>
  <c r="O84" i="1" s="1"/>
  <c r="N128" i="1"/>
  <c r="O128" i="1" s="1"/>
  <c r="N433" i="1"/>
  <c r="O433" i="1" s="1"/>
  <c r="N444" i="1"/>
  <c r="O444" i="1" s="1"/>
  <c r="N288" i="1"/>
  <c r="O288" i="1" s="1"/>
  <c r="N278" i="1"/>
  <c r="O278" i="1" s="1"/>
  <c r="N215" i="1"/>
  <c r="O215" i="1" s="1"/>
  <c r="N462" i="1"/>
  <c r="O462" i="1" s="1"/>
  <c r="N133" i="1"/>
  <c r="O133" i="1" s="1"/>
  <c r="N121" i="1"/>
  <c r="O121" i="1" s="1"/>
  <c r="N125" i="1"/>
  <c r="O125" i="1" s="1"/>
  <c r="N283" i="1"/>
  <c r="O283" i="1" s="1"/>
  <c r="N483" i="1"/>
  <c r="O483" i="1" s="1"/>
  <c r="N253" i="1"/>
  <c r="O253" i="1" s="1"/>
  <c r="N25" i="1"/>
  <c r="O25" i="1" s="1"/>
  <c r="N418" i="1"/>
  <c r="O418" i="1" s="1"/>
  <c r="N309" i="1"/>
  <c r="O309" i="1" s="1"/>
  <c r="N488" i="1"/>
  <c r="O488" i="1" s="1"/>
  <c r="N90" i="1"/>
  <c r="O90" i="1" s="1"/>
  <c r="N461" i="1"/>
  <c r="O461" i="1" s="1"/>
  <c r="N65" i="1"/>
  <c r="O65" i="1" s="1"/>
  <c r="N87" i="1"/>
  <c r="O87" i="1" s="1"/>
  <c r="N430" i="1"/>
  <c r="O430" i="1" s="1"/>
  <c r="N328" i="1"/>
  <c r="O328" i="1" s="1"/>
  <c r="N4" i="1"/>
  <c r="O4" i="1" s="1"/>
  <c r="N394" i="1"/>
  <c r="O394" i="1" s="1"/>
  <c r="N154" i="1"/>
  <c r="O154" i="1" s="1"/>
  <c r="N39" i="1"/>
  <c r="O39" i="1" s="1"/>
  <c r="N64" i="1"/>
  <c r="O64" i="1" s="1"/>
  <c r="N218" i="1"/>
  <c r="O218" i="1" s="1"/>
  <c r="N193" i="1"/>
  <c r="O193" i="1" s="1"/>
  <c r="N224" i="1"/>
  <c r="O224" i="1" s="1"/>
  <c r="N401" i="1"/>
  <c r="O401" i="1" s="1"/>
  <c r="N47" i="1"/>
  <c r="O47" i="1" s="1"/>
  <c r="N174" i="1"/>
  <c r="O174" i="1" s="1"/>
  <c r="N345" i="1"/>
  <c r="O345" i="1" s="1"/>
  <c r="N400" i="1"/>
  <c r="O400" i="1" s="1"/>
  <c r="N325" i="1"/>
  <c r="O325" i="1" s="1"/>
  <c r="N446" i="1"/>
  <c r="O446" i="1" s="1"/>
  <c r="N158" i="1"/>
  <c r="O158" i="1" s="1"/>
  <c r="N264" i="1"/>
  <c r="O264" i="1" s="1"/>
  <c r="N28" i="1"/>
  <c r="O28" i="1" s="1"/>
  <c r="N38" i="1"/>
  <c r="O38" i="1" s="1"/>
  <c r="N266" i="1"/>
  <c r="O266" i="1" s="1"/>
  <c r="N305" i="1"/>
  <c r="O305" i="1" s="1"/>
  <c r="N258" i="1"/>
  <c r="O258" i="1" s="1"/>
  <c r="N450" i="1"/>
  <c r="O450" i="1" s="1"/>
  <c r="N16" i="1"/>
  <c r="O16" i="1" s="1"/>
  <c r="N308" i="1"/>
  <c r="O308" i="1" s="1"/>
  <c r="N252" i="1"/>
  <c r="O252" i="1" s="1"/>
  <c r="N20" i="1"/>
  <c r="O20" i="1" s="1"/>
  <c r="N251" i="1"/>
  <c r="O251" i="1" s="1"/>
  <c r="N164" i="1"/>
  <c r="O164" i="1" s="1"/>
  <c r="N367" i="1"/>
  <c r="O367" i="1" s="1"/>
  <c r="N54" i="1"/>
  <c r="O54" i="1" s="1"/>
  <c r="N236" i="1"/>
  <c r="O236" i="1" s="1"/>
  <c r="N96" i="1"/>
  <c r="O96" i="1" s="1"/>
  <c r="N365" i="1"/>
  <c r="O365" i="1" s="1"/>
  <c r="N116" i="1"/>
  <c r="O116" i="1" s="1"/>
  <c r="N250" i="1"/>
  <c r="O250" i="1" s="1"/>
  <c r="N498" i="1"/>
  <c r="O498" i="1" s="1"/>
  <c r="N268" i="1"/>
  <c r="O268" i="1" s="1"/>
  <c r="N294" i="1"/>
  <c r="O294" i="1" s="1"/>
  <c r="N466" i="1"/>
  <c r="O466" i="1" s="1"/>
  <c r="N5" i="1"/>
  <c r="O5" i="1" s="1"/>
  <c r="N284" i="1"/>
  <c r="O284" i="1" s="1"/>
  <c r="N370" i="1"/>
  <c r="O370" i="1" s="1"/>
  <c r="N8" i="1"/>
  <c r="O8" i="1" s="1"/>
  <c r="N166" i="1"/>
  <c r="O166" i="1" s="1"/>
  <c r="N343" i="1"/>
  <c r="O343" i="1" s="1"/>
  <c r="N36" i="1"/>
  <c r="O36" i="1" s="1"/>
  <c r="N481" i="1"/>
  <c r="O481" i="1" s="1"/>
  <c r="N145" i="1"/>
  <c r="O145" i="1" s="1"/>
  <c r="N497" i="1"/>
  <c r="O497" i="1" s="1"/>
  <c r="N33" i="1"/>
  <c r="O33" i="1" s="1"/>
  <c r="N289" i="1"/>
  <c r="O289" i="1" s="1"/>
  <c r="N388" i="1"/>
  <c r="O388" i="1" s="1"/>
  <c r="N108" i="1"/>
  <c r="O108" i="1" s="1"/>
  <c r="N346" i="1"/>
  <c r="O346" i="1" s="1"/>
  <c r="N285" i="1"/>
  <c r="O285" i="1" s="1"/>
  <c r="N111" i="1"/>
  <c r="O111" i="1" s="1"/>
  <c r="N69" i="1"/>
  <c r="O69" i="1" s="1"/>
  <c r="N443" i="1"/>
  <c r="O443" i="1" s="1"/>
  <c r="N500" i="1"/>
  <c r="O500" i="1" s="1"/>
  <c r="N491" i="1"/>
  <c r="O491" i="1" s="1"/>
  <c r="N408" i="1"/>
  <c r="O408" i="1" s="1"/>
  <c r="N245" i="1"/>
  <c r="O245" i="1" s="1"/>
  <c r="N197" i="1"/>
  <c r="O197" i="1" s="1"/>
  <c r="N326" i="1"/>
  <c r="O326" i="1" s="1"/>
  <c r="N167" i="1"/>
  <c r="O167" i="1" s="1"/>
  <c r="N188" i="1"/>
  <c r="O188" i="1" s="1"/>
  <c r="N58" i="1"/>
  <c r="O58" i="1" s="1"/>
  <c r="N185" i="1"/>
  <c r="O185" i="1" s="1"/>
  <c r="N105" i="1"/>
  <c r="O105" i="1" s="1"/>
  <c r="N277" i="1"/>
  <c r="O277" i="1" s="1"/>
  <c r="N456" i="1"/>
  <c r="O456" i="1" s="1"/>
  <c r="N355" i="1"/>
  <c r="O355" i="1" s="1"/>
  <c r="N246" i="1"/>
  <c r="O246" i="1" s="1"/>
  <c r="N432" i="1"/>
  <c r="O432" i="1" s="1"/>
  <c r="N209" i="1"/>
  <c r="O209" i="1" s="1"/>
  <c r="N310" i="1"/>
  <c r="O310" i="1" s="1"/>
  <c r="N139" i="1"/>
  <c r="O139" i="1" s="1"/>
  <c r="N447" i="1"/>
  <c r="O447" i="1" s="1"/>
  <c r="N384" i="1"/>
  <c r="O384" i="1" s="1"/>
  <c r="N347" i="1"/>
  <c r="O347" i="1" s="1"/>
  <c r="N379" i="1"/>
  <c r="O379" i="1" s="1"/>
  <c r="N409" i="1"/>
  <c r="O409" i="1" s="1"/>
  <c r="N112" i="1"/>
  <c r="O112" i="1" s="1"/>
  <c r="N57" i="1"/>
  <c r="O57" i="1" s="1"/>
  <c r="N482" i="1"/>
  <c r="O482" i="1" s="1"/>
  <c r="N475" i="1"/>
  <c r="O475" i="1" s="1"/>
  <c r="N362" i="1"/>
  <c r="O362" i="1" s="1"/>
  <c r="N18" i="1"/>
  <c r="O18" i="1" s="1"/>
  <c r="N281" i="1"/>
  <c r="O281" i="1" s="1"/>
  <c r="N297" i="1"/>
  <c r="O297" i="1" s="1"/>
  <c r="N421" i="1"/>
  <c r="O421" i="1" s="1"/>
  <c r="N138" i="1"/>
  <c r="O138" i="1" s="1"/>
  <c r="N313" i="1"/>
  <c r="O313" i="1" s="1"/>
  <c r="N339" i="1"/>
  <c r="O339" i="1" s="1"/>
  <c r="N405" i="1"/>
  <c r="O405" i="1" s="1"/>
  <c r="N120" i="1"/>
  <c r="O120" i="1" s="1"/>
  <c r="N256" i="1"/>
  <c r="O256" i="1" s="1"/>
  <c r="N404" i="1"/>
  <c r="O404" i="1" s="1"/>
  <c r="N153" i="1"/>
  <c r="O153" i="1" s="1"/>
  <c r="N360" i="1"/>
  <c r="O360" i="1" s="1"/>
  <c r="N425" i="1"/>
  <c r="O425" i="1" s="1"/>
  <c r="N127" i="1"/>
  <c r="O127" i="1" s="1"/>
  <c r="N183" i="1"/>
  <c r="O183" i="1" s="1"/>
  <c r="N14" i="1"/>
  <c r="O14" i="1" s="1"/>
  <c r="N62" i="1"/>
  <c r="O62" i="1" s="1"/>
  <c r="N320" i="1"/>
  <c r="O320" i="1" s="1"/>
  <c r="N2" i="1"/>
  <c r="O2" i="1" s="1"/>
  <c r="N295" i="1"/>
  <c r="O295" i="1" s="1"/>
  <c r="N86" i="1"/>
  <c r="O86" i="1" s="1"/>
  <c r="N95" i="1"/>
  <c r="O95" i="1" s="1"/>
  <c r="N71" i="1"/>
  <c r="O71" i="1" s="1"/>
  <c r="N323" i="1"/>
  <c r="O323" i="1" s="1"/>
  <c r="N41" i="1"/>
  <c r="O41" i="1" s="1"/>
  <c r="N68" i="1"/>
  <c r="O68" i="1" s="1"/>
  <c r="N214" i="1"/>
  <c r="O214" i="1" s="1"/>
  <c r="N352" i="1"/>
  <c r="O352" i="1" s="1"/>
  <c r="N217" i="1"/>
  <c r="O217" i="1" s="1"/>
  <c r="N148" i="1"/>
  <c r="O148" i="1" s="1"/>
  <c r="N413" i="1"/>
  <c r="O413" i="1" s="1"/>
  <c r="N372" i="1"/>
  <c r="O372" i="1" s="1"/>
  <c r="N375" i="1"/>
  <c r="O375" i="1" s="1"/>
  <c r="N261" i="1"/>
  <c r="O261" i="1" s="1"/>
  <c r="N263" i="1"/>
  <c r="O263" i="1" s="1"/>
  <c r="N260" i="1"/>
  <c r="O260" i="1" s="1"/>
  <c r="N464" i="1"/>
  <c r="O464" i="1" s="1"/>
  <c r="N453" i="1"/>
  <c r="O453" i="1" s="1"/>
  <c r="N440" i="1"/>
  <c r="O440" i="1" s="1"/>
  <c r="N422" i="1"/>
  <c r="O422" i="1" s="1"/>
  <c r="N201" i="1"/>
  <c r="O201" i="1" s="1"/>
  <c r="N184" i="1"/>
  <c r="O184" i="1" s="1"/>
  <c r="N262" i="1"/>
  <c r="O262" i="1" s="1"/>
  <c r="N196" i="1"/>
  <c r="O196" i="1" s="1"/>
  <c r="N242" i="1"/>
  <c r="O242" i="1" s="1"/>
  <c r="N324" i="1"/>
  <c r="O324" i="1" s="1"/>
  <c r="N22" i="1"/>
  <c r="O22" i="1" s="1"/>
  <c r="N445" i="1"/>
  <c r="O445" i="1" s="1"/>
  <c r="N122" i="1"/>
  <c r="O122" i="1" s="1"/>
  <c r="N452" i="1"/>
  <c r="O452" i="1" s="1"/>
  <c r="N496" i="1"/>
  <c r="O496" i="1" s="1"/>
  <c r="N151" i="1"/>
  <c r="O151" i="1" s="1"/>
  <c r="N228" i="1"/>
  <c r="O228" i="1" s="1"/>
  <c r="N17" i="1"/>
  <c r="O17" i="1" s="1"/>
  <c r="N382" i="1"/>
  <c r="O382" i="1" s="1"/>
  <c r="N239" i="1"/>
  <c r="O239" i="1" s="1"/>
  <c r="N403" i="1"/>
  <c r="O403" i="1" s="1"/>
  <c r="N182" i="1"/>
  <c r="O182" i="1" s="1"/>
  <c r="N426" i="1"/>
  <c r="O426" i="1" s="1"/>
  <c r="N243" i="1"/>
  <c r="O243" i="1" s="1"/>
  <c r="N312" i="1"/>
  <c r="O312" i="1" s="1"/>
  <c r="N386" i="1"/>
  <c r="O386" i="1" s="1"/>
  <c r="N59" i="1"/>
  <c r="O59" i="1" s="1"/>
  <c r="N349" i="1"/>
  <c r="O349" i="1" s="1"/>
  <c r="N48" i="1"/>
  <c r="O48" i="1" s="1"/>
  <c r="N333" i="1"/>
  <c r="O333" i="1" s="1"/>
  <c r="N423" i="1"/>
  <c r="O423" i="1" s="1"/>
  <c r="N368" i="1"/>
  <c r="O368" i="1" s="1"/>
  <c r="N129" i="1"/>
  <c r="O129" i="1" s="1"/>
  <c r="N315" i="1"/>
  <c r="O315" i="1" s="1"/>
  <c r="N280" i="1"/>
  <c r="O280" i="1" s="1"/>
  <c r="N126" i="1"/>
  <c r="O126" i="1" s="1"/>
  <c r="N55" i="1"/>
  <c r="O55" i="1" s="1"/>
  <c r="N340" i="1"/>
  <c r="O340" i="1" s="1"/>
  <c r="N170" i="1"/>
  <c r="O170" i="1" s="1"/>
  <c r="N31" i="1"/>
  <c r="O31" i="1" s="1"/>
  <c r="N75" i="1"/>
  <c r="O75" i="1" s="1"/>
  <c r="N132" i="1"/>
  <c r="O132" i="1" s="1"/>
  <c r="N9" i="1"/>
  <c r="O9" i="1" s="1"/>
  <c r="N363" i="1"/>
  <c r="O363" i="1" s="1"/>
  <c r="N219" i="1"/>
  <c r="O219" i="1" s="1"/>
  <c r="N267" i="1"/>
  <c r="O267" i="1" s="1"/>
  <c r="N200" i="1"/>
  <c r="O200" i="1" s="1"/>
  <c r="N150" i="1"/>
  <c r="O150" i="1" s="1"/>
  <c r="N143" i="1"/>
  <c r="O143" i="1" s="1"/>
  <c r="N248" i="1"/>
  <c r="O248" i="1" s="1"/>
  <c r="N241" i="1"/>
  <c r="O241" i="1" s="1"/>
  <c r="N291" i="1"/>
  <c r="O291" i="1" s="1"/>
  <c r="N377" i="1"/>
  <c r="O377" i="1" s="1"/>
  <c r="N383" i="1"/>
  <c r="O383" i="1" s="1"/>
  <c r="N134" i="1"/>
  <c r="O134" i="1" s="1"/>
  <c r="N415" i="1"/>
  <c r="O415" i="1" s="1"/>
  <c r="N354" i="1"/>
  <c r="O354" i="1" s="1"/>
  <c r="N255" i="1"/>
  <c r="O255" i="1" s="1"/>
  <c r="N179" i="1"/>
  <c r="O179" i="1" s="1"/>
  <c r="N159" i="1"/>
  <c r="O159" i="1" s="1"/>
  <c r="N23" i="1"/>
  <c r="O23" i="1" s="1"/>
  <c r="N30" i="1"/>
  <c r="O30" i="1" s="1"/>
  <c r="N471" i="1"/>
  <c r="O471" i="1" s="1"/>
  <c r="N181" i="1"/>
  <c r="O181" i="1" s="1"/>
  <c r="N206" i="1"/>
  <c r="O206" i="1" s="1"/>
  <c r="N380" i="1"/>
  <c r="O380" i="1" s="1"/>
  <c r="N142" i="1"/>
  <c r="O142" i="1" s="1"/>
  <c r="N187" i="1"/>
  <c r="O187" i="1" s="1"/>
  <c r="N79" i="1"/>
  <c r="O79" i="1" s="1"/>
  <c r="N442" i="1"/>
  <c r="O442" i="1" s="1"/>
  <c r="N82" i="1"/>
  <c r="O82" i="1" s="1"/>
  <c r="N67" i="1"/>
  <c r="O67" i="1" s="1"/>
  <c r="N351" i="1"/>
  <c r="O351" i="1" s="1"/>
  <c r="N336" i="1"/>
  <c r="O336" i="1" s="1"/>
  <c r="N300" i="1"/>
  <c r="O300" i="1" s="1"/>
  <c r="N240" i="1"/>
  <c r="O240" i="1" s="1"/>
  <c r="N373" i="1"/>
  <c r="O373" i="1" s="1"/>
  <c r="N146" i="1"/>
  <c r="O146" i="1" s="1"/>
  <c r="N298" i="1"/>
  <c r="O298" i="1" s="1"/>
  <c r="N348" i="1"/>
  <c r="O348" i="1" s="1"/>
  <c r="N414" i="1"/>
  <c r="O414" i="1" s="1"/>
  <c r="N478" i="1"/>
  <c r="O478" i="1" s="1"/>
  <c r="N73" i="1"/>
  <c r="O73" i="1" s="1"/>
  <c r="N94" i="1"/>
  <c r="O94" i="1" s="1"/>
  <c r="N34" i="1"/>
  <c r="O34" i="1" s="1"/>
  <c r="N499" i="1"/>
  <c r="O499" i="1" s="1"/>
  <c r="N238" i="1"/>
  <c r="O238" i="1" s="1"/>
  <c r="N338" i="1"/>
  <c r="O338" i="1" s="1"/>
  <c r="N233" i="1"/>
  <c r="O233" i="1" s="1"/>
  <c r="N114" i="1"/>
  <c r="O114" i="1" s="1"/>
  <c r="N76" i="1"/>
  <c r="O76" i="1" s="1"/>
  <c r="S241" i="1" l="1"/>
  <c r="T241" i="1" s="1"/>
  <c r="U241" i="1" s="1"/>
  <c r="S183" i="1"/>
  <c r="T183" i="1" s="1"/>
  <c r="U183" i="1" s="1"/>
  <c r="S101" i="1"/>
  <c r="T101" i="1" s="1"/>
  <c r="U101" i="1" s="1"/>
  <c r="S98" i="1"/>
  <c r="T98" i="1" s="1"/>
  <c r="U98" i="1" s="1"/>
  <c r="S214" i="1"/>
  <c r="T214" i="1" s="1"/>
  <c r="U214" i="1" s="1"/>
  <c r="S225" i="1"/>
  <c r="T225" i="1" s="1"/>
  <c r="U225" i="1" s="1"/>
  <c r="S223" i="1"/>
  <c r="T223" i="1" s="1"/>
  <c r="U223" i="1" s="1"/>
  <c r="S107" i="1"/>
  <c r="T107" i="1" s="1"/>
  <c r="U107" i="1" s="1"/>
  <c r="S155" i="1"/>
  <c r="T155" i="1" s="1"/>
  <c r="U155" i="1" s="1"/>
  <c r="S157" i="1"/>
  <c r="T157" i="1" s="1"/>
  <c r="U157" i="1" s="1"/>
  <c r="S233" i="1"/>
  <c r="T233" i="1" s="1"/>
  <c r="U233" i="1" s="1"/>
  <c r="S373" i="1"/>
  <c r="T373" i="1" s="1"/>
  <c r="U373" i="1" s="1"/>
  <c r="S206" i="1"/>
  <c r="T206" i="1" s="1"/>
  <c r="U206" i="1" s="1"/>
  <c r="S377" i="1"/>
  <c r="T377" i="1" s="1"/>
  <c r="U377" i="1" s="1"/>
  <c r="S75" i="1"/>
  <c r="T75" i="1" s="1"/>
  <c r="U75" i="1" s="1"/>
  <c r="S48" i="1"/>
  <c r="T48" i="1" s="1"/>
  <c r="U48" i="1" s="1"/>
  <c r="S228" i="1"/>
  <c r="T228" i="1" s="1"/>
  <c r="U228" i="1" s="1"/>
  <c r="S201" i="1"/>
  <c r="T201" i="1" s="1"/>
  <c r="U201" i="1" s="1"/>
  <c r="S217" i="1"/>
  <c r="T217" i="1" s="1"/>
  <c r="U217" i="1" s="1"/>
  <c r="S62" i="1"/>
  <c r="T62" i="1" s="1"/>
  <c r="U62" i="1" s="1"/>
  <c r="S313" i="1"/>
  <c r="T313" i="1" s="1"/>
  <c r="U313" i="1" s="1"/>
  <c r="S379" i="1"/>
  <c r="T379" i="1" s="1"/>
  <c r="U379" i="1" s="1"/>
  <c r="S105" i="1"/>
  <c r="T105" i="1" s="1"/>
  <c r="U105" i="1" s="1"/>
  <c r="S69" i="1"/>
  <c r="T69" i="1" s="1"/>
  <c r="U69" i="1" s="1"/>
  <c r="S343" i="1"/>
  <c r="T343" i="1" s="1"/>
  <c r="U343" i="1" s="1"/>
  <c r="S365" i="1"/>
  <c r="T365" i="1" s="1"/>
  <c r="U365" i="1" s="1"/>
  <c r="S258" i="1"/>
  <c r="T258" i="1" s="1"/>
  <c r="U258" i="1" s="1"/>
  <c r="S47" i="1"/>
  <c r="T47" i="1" s="1"/>
  <c r="U47" i="1" s="1"/>
  <c r="S87" i="1"/>
  <c r="T87" i="1" s="1"/>
  <c r="U87" i="1" s="1"/>
  <c r="S121" i="1"/>
  <c r="T121" i="1" s="1"/>
  <c r="U121" i="1" s="1"/>
  <c r="S85" i="1"/>
  <c r="T85" i="1" s="1"/>
  <c r="U85" i="1" s="1"/>
  <c r="S202" i="1"/>
  <c r="T202" i="1" s="1"/>
  <c r="U202" i="1" s="1"/>
  <c r="S115" i="1"/>
  <c r="T115" i="1" s="1"/>
  <c r="U115" i="1" s="1"/>
  <c r="S212" i="1"/>
  <c r="T212" i="1" s="1"/>
  <c r="U212" i="1" s="1"/>
  <c r="S486" i="1"/>
  <c r="T486" i="1" s="1"/>
  <c r="U486" i="1" s="1"/>
  <c r="S103" i="1"/>
  <c r="T103" i="1" s="1"/>
  <c r="U103" i="1" s="1"/>
  <c r="S160" i="1"/>
  <c r="T160" i="1" s="1"/>
  <c r="U160" i="1" s="1"/>
  <c r="S10" i="1"/>
  <c r="T10" i="1" s="1"/>
  <c r="U10" i="1" s="1"/>
  <c r="S244" i="1"/>
  <c r="T244" i="1" s="1"/>
  <c r="U244" i="1" s="1"/>
  <c r="S301" i="1"/>
  <c r="T301" i="1" s="1"/>
  <c r="U301" i="1" s="1"/>
  <c r="S97" i="1"/>
  <c r="T97" i="1" s="1"/>
  <c r="U97" i="1" s="1"/>
  <c r="S437" i="1"/>
  <c r="T437" i="1" s="1"/>
  <c r="U437" i="1" s="1"/>
  <c r="S472" i="1"/>
  <c r="T472" i="1" s="1"/>
  <c r="U472" i="1" s="1"/>
  <c r="S247" i="1"/>
  <c r="T247" i="1" s="1"/>
  <c r="U247" i="1" s="1"/>
  <c r="S230" i="1"/>
  <c r="T230" i="1" s="1"/>
  <c r="U230" i="1" s="1"/>
  <c r="S470" i="1"/>
  <c r="T470" i="1" s="1"/>
  <c r="U470" i="1" s="1"/>
  <c r="S435" i="1"/>
  <c r="T435" i="1" s="1"/>
  <c r="U435" i="1" s="1"/>
  <c r="S366" i="1"/>
  <c r="T366" i="1" s="1"/>
  <c r="U366" i="1" s="1"/>
  <c r="S469" i="1"/>
  <c r="T469" i="1" s="1"/>
  <c r="U469" i="1" s="1"/>
  <c r="S350" i="1"/>
  <c r="T350" i="1" s="1"/>
  <c r="U350" i="1" s="1"/>
  <c r="S80" i="1"/>
  <c r="T80" i="1" s="1"/>
  <c r="U80" i="1" s="1"/>
  <c r="S332" i="1"/>
  <c r="T332" i="1" s="1"/>
  <c r="U332" i="1" s="1"/>
  <c r="S151" i="1"/>
  <c r="T151" i="1" s="1"/>
  <c r="U151" i="1" s="1"/>
  <c r="S138" i="1"/>
  <c r="T138" i="1" s="1"/>
  <c r="U138" i="1" s="1"/>
  <c r="S65" i="1"/>
  <c r="T65" i="1" s="1"/>
  <c r="U65" i="1" s="1"/>
  <c r="S191" i="1"/>
  <c r="T191" i="1" s="1"/>
  <c r="U191" i="1" s="1"/>
  <c r="S119" i="1"/>
  <c r="T119" i="1" s="1"/>
  <c r="U119" i="1" s="1"/>
  <c r="S176" i="1"/>
  <c r="T176" i="1" s="1"/>
  <c r="U176" i="1" s="1"/>
  <c r="S370" i="1"/>
  <c r="T370" i="1" s="1"/>
  <c r="U370" i="1" s="1"/>
  <c r="S499" i="1"/>
  <c r="T499" i="1" s="1"/>
  <c r="U499" i="1" s="1"/>
  <c r="S336" i="1"/>
  <c r="T336" i="1" s="1"/>
  <c r="U336" i="1" s="1"/>
  <c r="S248" i="1"/>
  <c r="T248" i="1" s="1"/>
  <c r="U248" i="1" s="1"/>
  <c r="S297" i="1"/>
  <c r="T297" i="1" s="1"/>
  <c r="U297" i="1" s="1"/>
  <c r="S30" i="1"/>
  <c r="T30" i="1" s="1"/>
  <c r="U30" i="1" s="1"/>
  <c r="S340" i="1"/>
  <c r="T340" i="1" s="1"/>
  <c r="U340" i="1" s="1"/>
  <c r="S386" i="1"/>
  <c r="T386" i="1" s="1"/>
  <c r="U386" i="1" s="1"/>
  <c r="S452" i="1"/>
  <c r="T452" i="1" s="1"/>
  <c r="U452" i="1" s="1"/>
  <c r="S453" i="1"/>
  <c r="T453" i="1" s="1"/>
  <c r="U453" i="1" s="1"/>
  <c r="S68" i="1"/>
  <c r="T68" i="1" s="1"/>
  <c r="U68" i="1" s="1"/>
  <c r="S127" i="1"/>
  <c r="T127" i="1" s="1"/>
  <c r="U127" i="1" s="1"/>
  <c r="S447" i="1"/>
  <c r="T447" i="1" s="1"/>
  <c r="U447" i="1" s="1"/>
  <c r="S188" i="1"/>
  <c r="T188" i="1" s="1"/>
  <c r="U188" i="1" s="1"/>
  <c r="S346" i="1"/>
  <c r="T346" i="1" s="1"/>
  <c r="U346" i="1" s="1"/>
  <c r="S54" i="1"/>
  <c r="T54" i="1" s="1"/>
  <c r="U54" i="1" s="1"/>
  <c r="S38" i="1"/>
  <c r="T38" i="1" s="1"/>
  <c r="U38" i="1" s="1"/>
  <c r="S193" i="1"/>
  <c r="T193" i="1" s="1"/>
  <c r="U193" i="1" s="1"/>
  <c r="S90" i="1"/>
  <c r="T90" i="1" s="1"/>
  <c r="U90" i="1" s="1"/>
  <c r="S215" i="1"/>
  <c r="T215" i="1" s="1"/>
  <c r="U215" i="1" s="1"/>
  <c r="S420" i="1"/>
  <c r="T420" i="1" s="1"/>
  <c r="U420" i="1" s="1"/>
  <c r="S490" i="1"/>
  <c r="T490" i="1" s="1"/>
  <c r="U490" i="1" s="1"/>
  <c r="S335" i="1"/>
  <c r="T335" i="1" s="1"/>
  <c r="U335" i="1" s="1"/>
  <c r="S451" i="1"/>
  <c r="T451" i="1" s="1"/>
  <c r="U451" i="1" s="1"/>
  <c r="S303" i="1"/>
  <c r="T303" i="1" s="1"/>
  <c r="U303" i="1" s="1"/>
  <c r="S358" i="1"/>
  <c r="T358" i="1" s="1"/>
  <c r="U358" i="1" s="1"/>
  <c r="S70" i="1"/>
  <c r="T70" i="1" s="1"/>
  <c r="U70" i="1" s="1"/>
  <c r="S357" i="1"/>
  <c r="T357" i="1" s="1"/>
  <c r="U357" i="1" s="1"/>
  <c r="S316" i="1"/>
  <c r="T316" i="1" s="1"/>
  <c r="U316" i="1" s="1"/>
  <c r="S406" i="1"/>
  <c r="T406" i="1" s="1"/>
  <c r="U406" i="1" s="1"/>
  <c r="S391" i="1"/>
  <c r="T391" i="1" s="1"/>
  <c r="U391" i="1" s="1"/>
  <c r="S454" i="1"/>
  <c r="T454" i="1" s="1"/>
  <c r="U454" i="1" s="1"/>
  <c r="S458" i="1"/>
  <c r="T458" i="1" s="1"/>
  <c r="U458" i="1" s="1"/>
  <c r="S124" i="1"/>
  <c r="T124" i="1" s="1"/>
  <c r="U124" i="1" s="1"/>
  <c r="S34" i="1"/>
  <c r="T34" i="1" s="1"/>
  <c r="U34" i="1" s="1"/>
  <c r="S143" i="1"/>
  <c r="T143" i="1" s="1"/>
  <c r="U143" i="1" s="1"/>
  <c r="S464" i="1"/>
  <c r="T464" i="1" s="1"/>
  <c r="U464" i="1" s="1"/>
  <c r="S139" i="1"/>
  <c r="T139" i="1" s="1"/>
  <c r="U139" i="1" s="1"/>
  <c r="S218" i="1"/>
  <c r="T218" i="1" s="1"/>
  <c r="U218" i="1" s="1"/>
  <c r="S254" i="1"/>
  <c r="T254" i="1" s="1"/>
  <c r="U254" i="1" s="1"/>
  <c r="S207" i="1"/>
  <c r="T207" i="1" s="1"/>
  <c r="U207" i="1" s="1"/>
  <c r="S438" i="1"/>
  <c r="T438" i="1" s="1"/>
  <c r="U438" i="1" s="1"/>
  <c r="S177" i="1"/>
  <c r="T177" i="1" s="1"/>
  <c r="U177" i="1" s="1"/>
  <c r="S173" i="1"/>
  <c r="T173" i="1" s="1"/>
  <c r="U173" i="1" s="1"/>
  <c r="S180" i="1"/>
  <c r="T180" i="1" s="1"/>
  <c r="U180" i="1" s="1"/>
  <c r="S178" i="1"/>
  <c r="T178" i="1" s="1"/>
  <c r="U178" i="1" s="1"/>
  <c r="S484" i="1"/>
  <c r="T484" i="1" s="1"/>
  <c r="U484" i="1" s="1"/>
  <c r="S168" i="1"/>
  <c r="T168" i="1" s="1"/>
  <c r="U168" i="1" s="1"/>
  <c r="S169" i="1"/>
  <c r="T169" i="1" s="1"/>
  <c r="U169" i="1" s="1"/>
  <c r="S351" i="1"/>
  <c r="T351" i="1" s="1"/>
  <c r="U351" i="1" s="1"/>
  <c r="S23" i="1"/>
  <c r="T23" i="1" s="1"/>
  <c r="U23" i="1" s="1"/>
  <c r="S55" i="1"/>
  <c r="T55" i="1" s="1"/>
  <c r="U55" i="1" s="1"/>
  <c r="S312" i="1"/>
  <c r="T312" i="1" s="1"/>
  <c r="U312" i="1" s="1"/>
  <c r="S122" i="1"/>
  <c r="T122" i="1" s="1"/>
  <c r="U122" i="1" s="1"/>
  <c r="S41" i="1"/>
  <c r="T41" i="1" s="1"/>
  <c r="U41" i="1" s="1"/>
  <c r="S425" i="1"/>
  <c r="T425" i="1" s="1"/>
  <c r="U425" i="1" s="1"/>
  <c r="S281" i="1"/>
  <c r="T281" i="1" s="1"/>
  <c r="U281" i="1" s="1"/>
  <c r="S167" i="1"/>
  <c r="T167" i="1" s="1"/>
  <c r="U167" i="1" s="1"/>
  <c r="S108" i="1"/>
  <c r="T108" i="1" s="1"/>
  <c r="U108" i="1" s="1"/>
  <c r="S284" i="1"/>
  <c r="T284" i="1" s="1"/>
  <c r="U284" i="1" s="1"/>
  <c r="S367" i="1"/>
  <c r="T367" i="1" s="1"/>
  <c r="U367" i="1" s="1"/>
  <c r="S28" i="1"/>
  <c r="T28" i="1" s="1"/>
  <c r="U28" i="1" s="1"/>
  <c r="S488" i="1"/>
  <c r="T488" i="1" s="1"/>
  <c r="U488" i="1" s="1"/>
  <c r="S278" i="1"/>
  <c r="T278" i="1" s="1"/>
  <c r="U278" i="1" s="1"/>
  <c r="S61" i="1"/>
  <c r="T61" i="1" s="1"/>
  <c r="U61" i="1" s="1"/>
  <c r="S441" i="1"/>
  <c r="T441" i="1" s="1"/>
  <c r="U441" i="1" s="1"/>
  <c r="S485" i="1"/>
  <c r="T485" i="1" s="1"/>
  <c r="U485" i="1" s="1"/>
  <c r="S194" i="1"/>
  <c r="T194" i="1" s="1"/>
  <c r="U194" i="1" s="1"/>
  <c r="S42" i="1"/>
  <c r="T42" i="1" s="1"/>
  <c r="U42" i="1" s="1"/>
  <c r="S19" i="1"/>
  <c r="T19" i="1" s="1"/>
  <c r="U19" i="1" s="1"/>
  <c r="S162" i="1"/>
  <c r="T162" i="1" s="1"/>
  <c r="U162" i="1" s="1"/>
  <c r="S123" i="1"/>
  <c r="T123" i="1" s="1"/>
  <c r="U123" i="1" s="1"/>
  <c r="S56" i="1"/>
  <c r="T56" i="1" s="1"/>
  <c r="U56" i="1" s="1"/>
  <c r="S198" i="1"/>
  <c r="T198" i="1" s="1"/>
  <c r="U198" i="1" s="1"/>
  <c r="S393" i="1"/>
  <c r="T393" i="1" s="1"/>
  <c r="U393" i="1" s="1"/>
  <c r="S91" i="1"/>
  <c r="T91" i="1" s="1"/>
  <c r="U91" i="1" s="1"/>
  <c r="S13" i="1"/>
  <c r="T13" i="1" s="1"/>
  <c r="U13" i="1" s="1"/>
  <c r="S270" i="1"/>
  <c r="T270" i="1" s="1"/>
  <c r="U270" i="1" s="1"/>
  <c r="S299" i="1"/>
  <c r="T299" i="1" s="1"/>
  <c r="U299" i="1" s="1"/>
  <c r="S106" i="1"/>
  <c r="T106" i="1" s="1"/>
  <c r="U106" i="1" s="1"/>
  <c r="S51" i="1"/>
  <c r="T51" i="1" s="1"/>
  <c r="U51" i="1" s="1"/>
  <c r="S165" i="1"/>
  <c r="T165" i="1" s="1"/>
  <c r="U165" i="1" s="1"/>
  <c r="S231" i="1"/>
  <c r="T231" i="1" s="1"/>
  <c r="U231" i="1" s="1"/>
  <c r="S344" i="1"/>
  <c r="T344" i="1" s="1"/>
  <c r="U344" i="1" s="1"/>
  <c r="S94" i="1"/>
  <c r="T94" i="1" s="1"/>
  <c r="U94" i="1" s="1"/>
  <c r="S67" i="1"/>
  <c r="T67" i="1" s="1"/>
  <c r="U67" i="1" s="1"/>
  <c r="S159" i="1"/>
  <c r="T159" i="1" s="1"/>
  <c r="U159" i="1" s="1"/>
  <c r="S150" i="1"/>
  <c r="T150" i="1" s="1"/>
  <c r="U150" i="1" s="1"/>
  <c r="S126" i="1"/>
  <c r="T126" i="1" s="1"/>
  <c r="U126" i="1" s="1"/>
  <c r="S243" i="1"/>
  <c r="T243" i="1" s="1"/>
  <c r="U243" i="1" s="1"/>
  <c r="S445" i="1"/>
  <c r="T445" i="1" s="1"/>
  <c r="U445" i="1" s="1"/>
  <c r="S260" i="1"/>
  <c r="T260" i="1" s="1"/>
  <c r="U260" i="1" s="1"/>
  <c r="S323" i="1"/>
  <c r="T323" i="1" s="1"/>
  <c r="U323" i="1" s="1"/>
  <c r="S360" i="1"/>
  <c r="T360" i="1" s="1"/>
  <c r="U360" i="1" s="1"/>
  <c r="S18" i="1"/>
  <c r="T18" i="1" s="1"/>
  <c r="U18" i="1" s="1"/>
  <c r="S310" i="1"/>
  <c r="T310" i="1" s="1"/>
  <c r="U310" i="1" s="1"/>
  <c r="S326" i="1"/>
  <c r="T326" i="1" s="1"/>
  <c r="U326" i="1" s="1"/>
  <c r="S388" i="1"/>
  <c r="T388" i="1" s="1"/>
  <c r="U388" i="1" s="1"/>
  <c r="S5" i="1"/>
  <c r="T5" i="1" s="1"/>
  <c r="U5" i="1" s="1"/>
  <c r="S164" i="1"/>
  <c r="T164" i="1" s="1"/>
  <c r="U164" i="1" s="1"/>
  <c r="S264" i="1"/>
  <c r="T264" i="1" s="1"/>
  <c r="U264" i="1" s="1"/>
  <c r="S64" i="1"/>
  <c r="T64" i="1" s="1"/>
  <c r="U64" i="1" s="1"/>
  <c r="S309" i="1"/>
  <c r="T309" i="1" s="1"/>
  <c r="U309" i="1" s="1"/>
  <c r="S288" i="1"/>
  <c r="T288" i="1" s="1"/>
  <c r="U288" i="1" s="1"/>
  <c r="S392" i="1"/>
  <c r="T392" i="1" s="1"/>
  <c r="U392" i="1" s="1"/>
  <c r="S376" i="1"/>
  <c r="T376" i="1" s="1"/>
  <c r="U376" i="1" s="1"/>
  <c r="S322" i="1"/>
  <c r="T322" i="1" s="1"/>
  <c r="U322" i="1" s="1"/>
  <c r="S419" i="1"/>
  <c r="T419" i="1" s="1"/>
  <c r="U419" i="1" s="1"/>
  <c r="S78" i="1"/>
  <c r="T78" i="1" s="1"/>
  <c r="U78" i="1" s="1"/>
  <c r="S431" i="1"/>
  <c r="T431" i="1" s="1"/>
  <c r="U431" i="1" s="1"/>
  <c r="S189" i="1"/>
  <c r="T189" i="1" s="1"/>
  <c r="U189" i="1" s="1"/>
  <c r="S89" i="1"/>
  <c r="T89" i="1" s="1"/>
  <c r="U89" i="1" s="1"/>
  <c r="S476" i="1"/>
  <c r="T476" i="1" s="1"/>
  <c r="U476" i="1" s="1"/>
  <c r="S282" i="1"/>
  <c r="T282" i="1" s="1"/>
  <c r="U282" i="1" s="1"/>
  <c r="S306" i="1"/>
  <c r="T306" i="1" s="1"/>
  <c r="U306" i="1" s="1"/>
  <c r="S199" i="1"/>
  <c r="T199" i="1" s="1"/>
  <c r="U199" i="1" s="1"/>
  <c r="S271" i="1"/>
  <c r="T271" i="1" s="1"/>
  <c r="U271" i="1" s="1"/>
  <c r="S29" i="1"/>
  <c r="T29" i="1" s="1"/>
  <c r="U29" i="1" s="1"/>
  <c r="S221" i="1"/>
  <c r="T221" i="1" s="1"/>
  <c r="U221" i="1" s="1"/>
  <c r="S35" i="1"/>
  <c r="T35" i="1" s="1"/>
  <c r="U35" i="1" s="1"/>
  <c r="S417" i="1"/>
  <c r="T417" i="1" s="1"/>
  <c r="U417" i="1" s="1"/>
  <c r="S276" i="1"/>
  <c r="T276" i="1" s="1"/>
  <c r="U276" i="1" s="1"/>
  <c r="S109" i="1"/>
  <c r="T109" i="1" s="1"/>
  <c r="U109" i="1" s="1"/>
  <c r="S416" i="1"/>
  <c r="T416" i="1" s="1"/>
  <c r="U416" i="1" s="1"/>
  <c r="S272" i="1"/>
  <c r="T272" i="1" s="1"/>
  <c r="U272" i="1" s="1"/>
  <c r="S92" i="1"/>
  <c r="T92" i="1" s="1"/>
  <c r="U92" i="1" s="1"/>
  <c r="S253" i="1"/>
  <c r="T253" i="1" s="1"/>
  <c r="U253" i="1" s="1"/>
  <c r="S348" i="1"/>
  <c r="T348" i="1" s="1"/>
  <c r="U348" i="1" s="1"/>
  <c r="S187" i="1"/>
  <c r="T187" i="1" s="1"/>
  <c r="U187" i="1" s="1"/>
  <c r="S415" i="1"/>
  <c r="T415" i="1" s="1"/>
  <c r="U415" i="1" s="1"/>
  <c r="S363" i="1"/>
  <c r="T363" i="1" s="1"/>
  <c r="U363" i="1" s="1"/>
  <c r="S368" i="1"/>
  <c r="T368" i="1" s="1"/>
  <c r="U368" i="1" s="1"/>
  <c r="S239" i="1"/>
  <c r="T239" i="1" s="1"/>
  <c r="U239" i="1" s="1"/>
  <c r="S196" i="1"/>
  <c r="T196" i="1" s="1"/>
  <c r="U196" i="1" s="1"/>
  <c r="S372" i="1"/>
  <c r="T372" i="1" s="1"/>
  <c r="U372" i="1" s="1"/>
  <c r="S295" i="1"/>
  <c r="T295" i="1" s="1"/>
  <c r="U295" i="1" s="1"/>
  <c r="S120" i="1"/>
  <c r="T120" i="1" s="1"/>
  <c r="U120" i="1" s="1"/>
  <c r="S57" i="1"/>
  <c r="T57" i="1" s="1"/>
  <c r="U57" i="1" s="1"/>
  <c r="S355" i="1"/>
  <c r="T355" i="1" s="1"/>
  <c r="U355" i="1" s="1"/>
  <c r="S491" i="1"/>
  <c r="T491" i="1" s="1"/>
  <c r="U491" i="1" s="1"/>
  <c r="S145" i="1"/>
  <c r="T145" i="1" s="1"/>
  <c r="U145" i="1" s="1"/>
  <c r="S498" i="1"/>
  <c r="T498" i="1" s="1"/>
  <c r="U498" i="1" s="1"/>
  <c r="S308" i="1"/>
  <c r="T308" i="1" s="1"/>
  <c r="U308" i="1" s="1"/>
  <c r="S400" i="1"/>
  <c r="T400" i="1" s="1"/>
  <c r="U400" i="1" s="1"/>
  <c r="S4" i="1"/>
  <c r="T4" i="1" s="1"/>
  <c r="U4" i="1" s="1"/>
  <c r="S483" i="1"/>
  <c r="T483" i="1" s="1"/>
  <c r="U483" i="1" s="1"/>
  <c r="S84" i="1"/>
  <c r="T84" i="1" s="1"/>
  <c r="U84" i="1" s="1"/>
  <c r="S307" i="1"/>
  <c r="T307" i="1" s="1"/>
  <c r="U307" i="1" s="1"/>
  <c r="S412" i="1"/>
  <c r="T412" i="1" s="1"/>
  <c r="U412" i="1" s="1"/>
  <c r="S43" i="1"/>
  <c r="T43" i="1" s="1"/>
  <c r="U43" i="1" s="1"/>
  <c r="S369" i="1"/>
  <c r="T369" i="1" s="1"/>
  <c r="U369" i="1" s="1"/>
  <c r="S286" i="1"/>
  <c r="T286" i="1" s="1"/>
  <c r="U286" i="1" s="1"/>
  <c r="S204" i="1"/>
  <c r="T204" i="1" s="1"/>
  <c r="U204" i="1" s="1"/>
  <c r="S378" i="1"/>
  <c r="T378" i="1" s="1"/>
  <c r="U378" i="1" s="1"/>
  <c r="S203" i="1"/>
  <c r="T203" i="1" s="1"/>
  <c r="U203" i="1" s="1"/>
  <c r="S32" i="1"/>
  <c r="T32" i="1" s="1"/>
  <c r="U32" i="1" s="1"/>
  <c r="S53" i="1"/>
  <c r="T53" i="1" s="1"/>
  <c r="U53" i="1" s="1"/>
  <c r="S489" i="1"/>
  <c r="T489" i="1" s="1"/>
  <c r="U489" i="1" s="1"/>
  <c r="S292" i="1"/>
  <c r="T292" i="1" s="1"/>
  <c r="U292" i="1" s="1"/>
  <c r="S15" i="1"/>
  <c r="T15" i="1" s="1"/>
  <c r="U15" i="1" s="1"/>
  <c r="S52" i="1"/>
  <c r="T52" i="1" s="1"/>
  <c r="U52" i="1" s="1"/>
  <c r="S361" i="1"/>
  <c r="T361" i="1" s="1"/>
  <c r="U361" i="1" s="1"/>
  <c r="S113" i="1"/>
  <c r="T113" i="1" s="1"/>
  <c r="U113" i="1" s="1"/>
  <c r="S213" i="1"/>
  <c r="T213" i="1" s="1"/>
  <c r="U213" i="1" s="1"/>
  <c r="S137" i="1"/>
  <c r="T137" i="1" s="1"/>
  <c r="U137" i="1" s="1"/>
  <c r="S110" i="1"/>
  <c r="T110" i="1" s="1"/>
  <c r="U110" i="1" s="1"/>
  <c r="S402" i="1"/>
  <c r="T402" i="1" s="1"/>
  <c r="U402" i="1" s="1"/>
  <c r="S11" i="1"/>
  <c r="T11" i="1" s="1"/>
  <c r="U11" i="1" s="1"/>
  <c r="S76" i="1"/>
  <c r="T76" i="1" s="1"/>
  <c r="U76" i="1" s="1"/>
  <c r="S298" i="1"/>
  <c r="T298" i="1" s="1"/>
  <c r="U298" i="1" s="1"/>
  <c r="S142" i="1"/>
  <c r="T142" i="1" s="1"/>
  <c r="U142" i="1" s="1"/>
  <c r="S134" i="1"/>
  <c r="T134" i="1" s="1"/>
  <c r="U134" i="1" s="1"/>
  <c r="S9" i="1"/>
  <c r="T9" i="1" s="1"/>
  <c r="U9" i="1" s="1"/>
  <c r="S423" i="1"/>
  <c r="T423" i="1" s="1"/>
  <c r="U423" i="1" s="1"/>
  <c r="S382" i="1"/>
  <c r="T382" i="1" s="1"/>
  <c r="U382" i="1" s="1"/>
  <c r="S262" i="1"/>
  <c r="T262" i="1" s="1"/>
  <c r="U262" i="1" s="1"/>
  <c r="S413" i="1"/>
  <c r="T413" i="1" s="1"/>
  <c r="U413" i="1" s="1"/>
  <c r="S2" i="1"/>
  <c r="T2" i="1" s="1"/>
  <c r="U2" i="1" s="1"/>
  <c r="S405" i="1"/>
  <c r="T405" i="1" s="1"/>
  <c r="U405" i="1" s="1"/>
  <c r="S112" i="1"/>
  <c r="T112" i="1" s="1"/>
  <c r="U112" i="1" s="1"/>
  <c r="S456" i="1"/>
  <c r="T456" i="1" s="1"/>
  <c r="U456" i="1" s="1"/>
  <c r="S500" i="1"/>
  <c r="T500" i="1" s="1"/>
  <c r="U500" i="1" s="1"/>
  <c r="S481" i="1"/>
  <c r="T481" i="1" s="1"/>
  <c r="U481" i="1" s="1"/>
  <c r="S250" i="1"/>
  <c r="T250" i="1" s="1"/>
  <c r="U250" i="1" s="1"/>
  <c r="S16" i="1"/>
  <c r="T16" i="1" s="1"/>
  <c r="U16" i="1" s="1"/>
  <c r="S345" i="1"/>
  <c r="T345" i="1" s="1"/>
  <c r="U345" i="1" s="1"/>
  <c r="S328" i="1"/>
  <c r="T328" i="1" s="1"/>
  <c r="U328" i="1" s="1"/>
  <c r="S283" i="1"/>
  <c r="T283" i="1" s="1"/>
  <c r="U283" i="1" s="1"/>
  <c r="S259" i="1"/>
  <c r="T259" i="1" s="1"/>
  <c r="U259" i="1" s="1"/>
  <c r="S257" i="1"/>
  <c r="T257" i="1" s="1"/>
  <c r="U257" i="1" s="1"/>
  <c r="S487" i="1"/>
  <c r="T487" i="1" s="1"/>
  <c r="U487" i="1" s="1"/>
  <c r="S234" i="1"/>
  <c r="T234" i="1" s="1"/>
  <c r="U234" i="1" s="1"/>
  <c r="S439" i="1"/>
  <c r="T439" i="1" s="1"/>
  <c r="U439" i="1" s="1"/>
  <c r="S334" i="1"/>
  <c r="T334" i="1" s="1"/>
  <c r="U334" i="1" s="1"/>
  <c r="S342" i="1"/>
  <c r="T342" i="1" s="1"/>
  <c r="U342" i="1" s="1"/>
  <c r="S135" i="1"/>
  <c r="T135" i="1" s="1"/>
  <c r="U135" i="1" s="1"/>
  <c r="S395" i="1"/>
  <c r="T395" i="1" s="1"/>
  <c r="U395" i="1" s="1"/>
  <c r="S457" i="1"/>
  <c r="T457" i="1" s="1"/>
  <c r="U457" i="1" s="1"/>
  <c r="S279" i="1"/>
  <c r="T279" i="1" s="1"/>
  <c r="U279" i="1" s="1"/>
  <c r="S374" i="1"/>
  <c r="T374" i="1" s="1"/>
  <c r="U374" i="1" s="1"/>
  <c r="S100" i="1"/>
  <c r="T100" i="1" s="1"/>
  <c r="U100" i="1" s="1"/>
  <c r="S275" i="1"/>
  <c r="T275" i="1" s="1"/>
  <c r="U275" i="1" s="1"/>
  <c r="S117" i="1"/>
  <c r="T117" i="1" s="1"/>
  <c r="U117" i="1" s="1"/>
  <c r="S63" i="1"/>
  <c r="T63" i="1" s="1"/>
  <c r="U63" i="1" s="1"/>
  <c r="S26" i="1"/>
  <c r="T26" i="1" s="1"/>
  <c r="U26" i="1" s="1"/>
  <c r="S27" i="1"/>
  <c r="T27" i="1" s="1"/>
  <c r="U27" i="1" s="1"/>
  <c r="S429" i="1"/>
  <c r="T429" i="1" s="1"/>
  <c r="U429" i="1" s="1"/>
  <c r="S399" i="1"/>
  <c r="T399" i="1" s="1"/>
  <c r="U399" i="1" s="1"/>
  <c r="S341" i="1"/>
  <c r="T341" i="1" s="1"/>
  <c r="U341" i="1" s="1"/>
  <c r="S473" i="1"/>
  <c r="T473" i="1" s="1"/>
  <c r="U473" i="1" s="1"/>
  <c r="S114" i="1"/>
  <c r="T114" i="1" s="1"/>
  <c r="U114" i="1" s="1"/>
  <c r="S146" i="1"/>
  <c r="T146" i="1" s="1"/>
  <c r="U146" i="1" s="1"/>
  <c r="S380" i="1"/>
  <c r="T380" i="1" s="1"/>
  <c r="U380" i="1" s="1"/>
  <c r="S383" i="1"/>
  <c r="T383" i="1" s="1"/>
  <c r="U383" i="1" s="1"/>
  <c r="S132" i="1"/>
  <c r="T132" i="1" s="1"/>
  <c r="U132" i="1" s="1"/>
  <c r="S333" i="1"/>
  <c r="T333" i="1" s="1"/>
  <c r="U333" i="1" s="1"/>
  <c r="S17" i="1"/>
  <c r="T17" i="1" s="1"/>
  <c r="U17" i="1" s="1"/>
  <c r="S184" i="1"/>
  <c r="T184" i="1" s="1"/>
  <c r="U184" i="1" s="1"/>
  <c r="S148" i="1"/>
  <c r="T148" i="1" s="1"/>
  <c r="U148" i="1" s="1"/>
  <c r="S320" i="1"/>
  <c r="T320" i="1" s="1"/>
  <c r="U320" i="1" s="1"/>
  <c r="S339" i="1"/>
  <c r="T339" i="1" s="1"/>
  <c r="U339" i="1" s="1"/>
  <c r="S409" i="1"/>
  <c r="T409" i="1" s="1"/>
  <c r="U409" i="1" s="1"/>
  <c r="S277" i="1"/>
  <c r="T277" i="1" s="1"/>
  <c r="U277" i="1" s="1"/>
  <c r="S443" i="1"/>
  <c r="T443" i="1" s="1"/>
  <c r="U443" i="1" s="1"/>
  <c r="S36" i="1"/>
  <c r="T36" i="1" s="1"/>
  <c r="U36" i="1" s="1"/>
  <c r="S116" i="1"/>
  <c r="T116" i="1" s="1"/>
  <c r="U116" i="1" s="1"/>
  <c r="S450" i="1"/>
  <c r="T450" i="1" s="1"/>
  <c r="U450" i="1" s="1"/>
  <c r="S174" i="1"/>
  <c r="T174" i="1" s="1"/>
  <c r="U174" i="1" s="1"/>
  <c r="S430" i="1"/>
  <c r="T430" i="1" s="1"/>
  <c r="U430" i="1" s="1"/>
  <c r="S125" i="1"/>
  <c r="T125" i="1" s="1"/>
  <c r="U125" i="1" s="1"/>
  <c r="S192" i="1"/>
  <c r="T192" i="1" s="1"/>
  <c r="U192" i="1" s="1"/>
  <c r="S237" i="1"/>
  <c r="T237" i="1" s="1"/>
  <c r="U237" i="1" s="1"/>
  <c r="S407" i="1"/>
  <c r="T407" i="1" s="1"/>
  <c r="U407" i="1" s="1"/>
  <c r="S235" i="1"/>
  <c r="T235" i="1" s="1"/>
  <c r="U235" i="1" s="1"/>
  <c r="S195" i="1"/>
  <c r="T195" i="1" s="1"/>
  <c r="U195" i="1" s="1"/>
  <c r="S163" i="1"/>
  <c r="T163" i="1" s="1"/>
  <c r="U163" i="1" s="1"/>
  <c r="S130" i="1"/>
  <c r="T130" i="1" s="1"/>
  <c r="U130" i="1" s="1"/>
  <c r="S118" i="1"/>
  <c r="T118" i="1" s="1"/>
  <c r="U118" i="1" s="1"/>
  <c r="S321" i="1"/>
  <c r="T321" i="1" s="1"/>
  <c r="U321" i="1" s="1"/>
  <c r="S304" i="1"/>
  <c r="T304" i="1" s="1"/>
  <c r="U304" i="1" s="1"/>
  <c r="S337" i="1"/>
  <c r="T337" i="1" s="1"/>
  <c r="U337" i="1" s="1"/>
  <c r="S208" i="1"/>
  <c r="T208" i="1" s="1"/>
  <c r="U208" i="1" s="1"/>
  <c r="S274" i="1"/>
  <c r="T274" i="1" s="1"/>
  <c r="U274" i="1" s="1"/>
  <c r="S359" i="1"/>
  <c r="T359" i="1" s="1"/>
  <c r="U359" i="1" s="1"/>
  <c r="S144" i="1"/>
  <c r="T144" i="1" s="1"/>
  <c r="U144" i="1" s="1"/>
  <c r="S152" i="1"/>
  <c r="T152" i="1" s="1"/>
  <c r="U152" i="1" s="1"/>
  <c r="S172" i="1"/>
  <c r="T172" i="1" s="1"/>
  <c r="U172" i="1" s="1"/>
  <c r="S492" i="1"/>
  <c r="T492" i="1" s="1"/>
  <c r="U492" i="1" s="1"/>
  <c r="S424" i="1"/>
  <c r="T424" i="1" s="1"/>
  <c r="U424" i="1" s="1"/>
  <c r="S397" i="1"/>
  <c r="T397" i="1" s="1"/>
  <c r="U397" i="1" s="1"/>
  <c r="S317" i="1"/>
  <c r="T317" i="1" s="1"/>
  <c r="U317" i="1" s="1"/>
  <c r="S149" i="1"/>
  <c r="T149" i="1" s="1"/>
  <c r="U149" i="1" s="1"/>
  <c r="S327" i="1"/>
  <c r="T327" i="1" s="1"/>
  <c r="U327" i="1" s="1"/>
  <c r="S156" i="1"/>
  <c r="T156" i="1" s="1"/>
  <c r="U156" i="1" s="1"/>
  <c r="S426" i="1"/>
  <c r="T426" i="1" s="1"/>
  <c r="U426" i="1" s="1"/>
  <c r="S289" i="1"/>
  <c r="T289" i="1" s="1"/>
  <c r="U289" i="1" s="1"/>
  <c r="S427" i="1"/>
  <c r="T427" i="1" s="1"/>
  <c r="U427" i="1" s="1"/>
  <c r="S186" i="1"/>
  <c r="T186" i="1" s="1"/>
  <c r="U186" i="1" s="1"/>
  <c r="S182" i="1"/>
  <c r="T182" i="1" s="1"/>
  <c r="U182" i="1" s="1"/>
  <c r="S33" i="1"/>
  <c r="T33" i="1" s="1"/>
  <c r="U33" i="1" s="1"/>
  <c r="S460" i="1"/>
  <c r="T460" i="1" s="1"/>
  <c r="U460" i="1" s="1"/>
  <c r="S468" i="1"/>
  <c r="T468" i="1" s="1"/>
  <c r="U468" i="1" s="1"/>
  <c r="S354" i="1"/>
  <c r="T354" i="1" s="1"/>
  <c r="U354" i="1" s="1"/>
  <c r="S83" i="1"/>
  <c r="T83" i="1" s="1"/>
  <c r="U83" i="1" s="1"/>
  <c r="S381" i="1"/>
  <c r="T381" i="1" s="1"/>
  <c r="U381" i="1" s="1"/>
  <c r="S296" i="1"/>
  <c r="T296" i="1" s="1"/>
  <c r="U296" i="1" s="1"/>
  <c r="S240" i="1"/>
  <c r="T240" i="1" s="1"/>
  <c r="U240" i="1" s="1"/>
  <c r="S291" i="1"/>
  <c r="T291" i="1" s="1"/>
  <c r="U291" i="1" s="1"/>
  <c r="S349" i="1"/>
  <c r="T349" i="1" s="1"/>
  <c r="U349" i="1" s="1"/>
  <c r="S422" i="1"/>
  <c r="T422" i="1" s="1"/>
  <c r="U422" i="1" s="1"/>
  <c r="S352" i="1"/>
  <c r="T352" i="1" s="1"/>
  <c r="U352" i="1" s="1"/>
  <c r="S14" i="1"/>
  <c r="T14" i="1" s="1"/>
  <c r="U14" i="1" s="1"/>
  <c r="S347" i="1"/>
  <c r="T347" i="1" s="1"/>
  <c r="U347" i="1" s="1"/>
  <c r="S185" i="1"/>
  <c r="T185" i="1" s="1"/>
  <c r="U185" i="1" s="1"/>
  <c r="S111" i="1"/>
  <c r="T111" i="1" s="1"/>
  <c r="U111" i="1" s="1"/>
  <c r="S166" i="1"/>
  <c r="T166" i="1" s="1"/>
  <c r="U166" i="1" s="1"/>
  <c r="S96" i="1"/>
  <c r="T96" i="1" s="1"/>
  <c r="U96" i="1" s="1"/>
  <c r="S305" i="1"/>
  <c r="T305" i="1" s="1"/>
  <c r="U305" i="1" s="1"/>
  <c r="S401" i="1"/>
  <c r="T401" i="1" s="1"/>
  <c r="U401" i="1" s="1"/>
  <c r="S133" i="1"/>
  <c r="T133" i="1" s="1"/>
  <c r="U133" i="1" s="1"/>
  <c r="S318" i="1"/>
  <c r="T318" i="1" s="1"/>
  <c r="U318" i="1" s="1"/>
  <c r="S389" i="1"/>
  <c r="T389" i="1" s="1"/>
  <c r="U389" i="1" s="1"/>
  <c r="S12" i="1"/>
  <c r="T12" i="1" s="1"/>
  <c r="U12" i="1" s="1"/>
  <c r="S44" i="1"/>
  <c r="T44" i="1" s="1"/>
  <c r="U44" i="1" s="1"/>
  <c r="S249" i="1"/>
  <c r="T249" i="1" s="1"/>
  <c r="U249" i="1" s="1"/>
  <c r="S88" i="1"/>
  <c r="T88" i="1" s="1"/>
  <c r="U88" i="1" s="1"/>
  <c r="S329" i="1"/>
  <c r="T329" i="1" s="1"/>
  <c r="U329" i="1" s="1"/>
  <c r="S467" i="1"/>
  <c r="T467" i="1" s="1"/>
  <c r="U467" i="1" s="1"/>
  <c r="S74" i="1"/>
  <c r="T74" i="1" s="1"/>
  <c r="U74" i="1" s="1"/>
  <c r="S50" i="1"/>
  <c r="T50" i="1" s="1"/>
  <c r="U50" i="1" s="1"/>
  <c r="S390" i="1"/>
  <c r="T390" i="1" s="1"/>
  <c r="U390" i="1" s="1"/>
  <c r="S293" i="1"/>
  <c r="T293" i="1" s="1"/>
  <c r="U293" i="1" s="1"/>
  <c r="S216" i="1"/>
  <c r="T216" i="1" s="1"/>
  <c r="U216" i="1" s="1"/>
  <c r="S480" i="1"/>
  <c r="T480" i="1" s="1"/>
  <c r="U480" i="1" s="1"/>
  <c r="S314" i="1"/>
  <c r="T314" i="1" s="1"/>
  <c r="U314" i="1" s="1"/>
  <c r="S455" i="1"/>
  <c r="T455" i="1" s="1"/>
  <c r="U455" i="1" s="1"/>
  <c r="S474" i="1"/>
  <c r="T474" i="1" s="1"/>
  <c r="U474" i="1" s="1"/>
  <c r="S211" i="1"/>
  <c r="T211" i="1" s="1"/>
  <c r="U211" i="1" s="1"/>
  <c r="Q397" i="1" a="1"/>
  <c r="Q397" i="1" s="1"/>
  <c r="S338" i="1"/>
  <c r="T338" i="1" s="1"/>
  <c r="U338" i="1" s="1"/>
  <c r="S181" i="1"/>
  <c r="T181" i="1" s="1"/>
  <c r="U181" i="1" s="1"/>
  <c r="S31" i="1"/>
  <c r="T31" i="1" s="1"/>
  <c r="U31" i="1" s="1"/>
  <c r="S238" i="1"/>
  <c r="T238" i="1" s="1"/>
  <c r="U238" i="1" s="1"/>
  <c r="S300" i="1"/>
  <c r="T300" i="1" s="1"/>
  <c r="U300" i="1" s="1"/>
  <c r="S471" i="1"/>
  <c r="T471" i="1" s="1"/>
  <c r="U471" i="1" s="1"/>
  <c r="S170" i="1"/>
  <c r="T170" i="1" s="1"/>
  <c r="U170" i="1" s="1"/>
  <c r="S59" i="1"/>
  <c r="T59" i="1" s="1"/>
  <c r="U59" i="1" s="1"/>
  <c r="S496" i="1"/>
  <c r="T496" i="1" s="1"/>
  <c r="U496" i="1" s="1"/>
  <c r="S440" i="1"/>
  <c r="T440" i="1" s="1"/>
  <c r="U440" i="1" s="1"/>
  <c r="S421" i="1"/>
  <c r="T421" i="1" s="1"/>
  <c r="U421" i="1" s="1"/>
  <c r="S384" i="1"/>
  <c r="T384" i="1" s="1"/>
  <c r="U384" i="1" s="1"/>
  <c r="S58" i="1"/>
  <c r="T58" i="1" s="1"/>
  <c r="U58" i="1" s="1"/>
  <c r="S285" i="1"/>
  <c r="T285" i="1" s="1"/>
  <c r="U285" i="1" s="1"/>
  <c r="S8" i="1"/>
  <c r="T8" i="1" s="1"/>
  <c r="U8" i="1" s="1"/>
  <c r="S236" i="1"/>
  <c r="T236" i="1" s="1"/>
  <c r="U236" i="1" s="1"/>
  <c r="S266" i="1"/>
  <c r="T266" i="1" s="1"/>
  <c r="U266" i="1" s="1"/>
  <c r="S224" i="1"/>
  <c r="T224" i="1" s="1"/>
  <c r="U224" i="1" s="1"/>
  <c r="S461" i="1"/>
  <c r="T461" i="1" s="1"/>
  <c r="U461" i="1" s="1"/>
  <c r="S462" i="1"/>
  <c r="T462" i="1" s="1"/>
  <c r="U462" i="1" s="1"/>
  <c r="S45" i="1"/>
  <c r="T45" i="1" s="1"/>
  <c r="U45" i="1" s="1"/>
  <c r="S448" i="1"/>
  <c r="T448" i="1" s="1"/>
  <c r="U448" i="1" s="1"/>
  <c r="S449" i="1"/>
  <c r="T449" i="1" s="1"/>
  <c r="U449" i="1" s="1"/>
  <c r="S371" i="1"/>
  <c r="T371" i="1" s="1"/>
  <c r="U371" i="1" s="1"/>
  <c r="S302" i="1"/>
  <c r="T302" i="1" s="1"/>
  <c r="U302" i="1" s="1"/>
  <c r="S319" i="1"/>
  <c r="T319" i="1" s="1"/>
  <c r="U319" i="1" s="1"/>
  <c r="S331" i="1"/>
  <c r="T331" i="1" s="1"/>
  <c r="U331" i="1" s="1"/>
  <c r="S465" i="1"/>
  <c r="T465" i="1" s="1"/>
  <c r="U465" i="1" s="1"/>
  <c r="S364" i="1"/>
  <c r="T364" i="1" s="1"/>
  <c r="U364" i="1" s="1"/>
  <c r="S99" i="1"/>
  <c r="T99" i="1" s="1"/>
  <c r="U99" i="1" s="1"/>
  <c r="S428" i="1"/>
  <c r="T428" i="1" s="1"/>
  <c r="U428" i="1" s="1"/>
  <c r="S140" i="1"/>
  <c r="T140" i="1" s="1"/>
  <c r="U140" i="1" s="1"/>
  <c r="S495" i="1"/>
  <c r="T495" i="1" s="1"/>
  <c r="U495" i="1" s="1"/>
  <c r="S226" i="1"/>
  <c r="T226" i="1" s="1"/>
  <c r="U226" i="1" s="1"/>
  <c r="S232" i="1"/>
  <c r="T232" i="1" s="1"/>
  <c r="U232" i="1" s="1"/>
  <c r="S273" i="1"/>
  <c r="T273" i="1" s="1"/>
  <c r="U273" i="1" s="1"/>
  <c r="Q151" i="1" a="1"/>
  <c r="Q151" i="1" s="1"/>
  <c r="AB151" i="1"/>
  <c r="Q422" i="1" a="1"/>
  <c r="Q422" i="1" s="1"/>
  <c r="AB422" i="1"/>
  <c r="Q352" i="1" a="1"/>
  <c r="Q352" i="1" s="1"/>
  <c r="AB352" i="1"/>
  <c r="Q14" i="1" a="1"/>
  <c r="Q14" i="1" s="1"/>
  <c r="AB14" i="1"/>
  <c r="Q138" i="1" a="1"/>
  <c r="Q138" i="1" s="1"/>
  <c r="AB138" i="1"/>
  <c r="Q185" i="1" a="1"/>
  <c r="Q185" i="1" s="1"/>
  <c r="AB185" i="1"/>
  <c r="Q111" i="1" a="1"/>
  <c r="Q111" i="1" s="1"/>
  <c r="AB111" i="1"/>
  <c r="Q166" i="1" a="1"/>
  <c r="Q166" i="1" s="1"/>
  <c r="AB166" i="1"/>
  <c r="Q305" i="1" a="1"/>
  <c r="Q305" i="1" s="1"/>
  <c r="AB305" i="1"/>
  <c r="Q65" i="1" a="1"/>
  <c r="Q65" i="1" s="1"/>
  <c r="AB65" i="1"/>
  <c r="Q50" i="1" a="1"/>
  <c r="Q50" i="1" s="1"/>
  <c r="AB50" i="1"/>
  <c r="Q390" i="1" a="1"/>
  <c r="Q390" i="1" s="1"/>
  <c r="AB390" i="1"/>
  <c r="Q293" i="1" a="1"/>
  <c r="Q293" i="1" s="1"/>
  <c r="AB293" i="1"/>
  <c r="Q314" i="1" a="1"/>
  <c r="Q314" i="1" s="1"/>
  <c r="AB314" i="1"/>
  <c r="Q455" i="1" a="1"/>
  <c r="Q455" i="1" s="1"/>
  <c r="AB455" i="1"/>
  <c r="Q273" i="1" a="1"/>
  <c r="Q273" i="1" s="1"/>
  <c r="AB273" i="1"/>
  <c r="Q176" i="1" a="1"/>
  <c r="Q176" i="1" s="1"/>
  <c r="AB176" i="1"/>
  <c r="Q474" i="1" a="1"/>
  <c r="Q474" i="1" s="1"/>
  <c r="AB474" i="1"/>
  <c r="Q211" i="1" a="1"/>
  <c r="Q211" i="1" s="1"/>
  <c r="AB211" i="1"/>
  <c r="Q379" i="1" a="1"/>
  <c r="Q379" i="1" s="1"/>
  <c r="AB481" i="1"/>
  <c r="AB394" i="1"/>
  <c r="AB297" i="1"/>
  <c r="AB191" i="1"/>
  <c r="AB75" i="1"/>
  <c r="Q338" i="1" a="1"/>
  <c r="Q338" i="1" s="1"/>
  <c r="AB338" i="1"/>
  <c r="Q240" i="1" a="1"/>
  <c r="Q240" i="1" s="1"/>
  <c r="AB240" i="1"/>
  <c r="Q181" i="1" a="1"/>
  <c r="Q181" i="1" s="1"/>
  <c r="AB181" i="1"/>
  <c r="Q291" i="1" a="1"/>
  <c r="Q291" i="1" s="1"/>
  <c r="AB291" i="1"/>
  <c r="Q31" i="1" a="1"/>
  <c r="Q31" i="1" s="1"/>
  <c r="AB31" i="1"/>
  <c r="Q349" i="1" a="1"/>
  <c r="Q349" i="1" s="1"/>
  <c r="AB349" i="1"/>
  <c r="Q401" i="1" a="1"/>
  <c r="Q401" i="1" s="1"/>
  <c r="AB401" i="1"/>
  <c r="Q318" i="1" a="1"/>
  <c r="Q318" i="1" s="1"/>
  <c r="AB318" i="1"/>
  <c r="Q249" i="1" a="1"/>
  <c r="Q249" i="1" s="1"/>
  <c r="AB249" i="1"/>
  <c r="Q119" i="1" a="1"/>
  <c r="Q119" i="1" s="1"/>
  <c r="AB119" i="1"/>
  <c r="Q88" i="1" a="1"/>
  <c r="Q88" i="1" s="1"/>
  <c r="AB88" i="1"/>
  <c r="Q329" i="1" a="1"/>
  <c r="Q329" i="1" s="1"/>
  <c r="AB329" i="1"/>
  <c r="Q467" i="1" a="1"/>
  <c r="Q467" i="1" s="1"/>
  <c r="AB467" i="1"/>
  <c r="Q216" i="1" a="1"/>
  <c r="Q216" i="1" s="1"/>
  <c r="AB216" i="1"/>
  <c r="Q238" i="1" a="1"/>
  <c r="Q238" i="1" s="1"/>
  <c r="AB238" i="1"/>
  <c r="Q300" i="1" a="1"/>
  <c r="Q300" i="1" s="1"/>
  <c r="AB300" i="1"/>
  <c r="Q471" i="1" a="1"/>
  <c r="Q471" i="1" s="1"/>
  <c r="AB471" i="1"/>
  <c r="Q241" i="1" a="1"/>
  <c r="Q241" i="1" s="1"/>
  <c r="AB241" i="1"/>
  <c r="Q170" i="1" a="1"/>
  <c r="Q170" i="1" s="1"/>
  <c r="AB170" i="1"/>
  <c r="Q59" i="1" a="1"/>
  <c r="Q59" i="1" s="1"/>
  <c r="AB59" i="1"/>
  <c r="Q496" i="1" a="1"/>
  <c r="Q496" i="1" s="1"/>
  <c r="AB496" i="1"/>
  <c r="Q440" i="1" a="1"/>
  <c r="Q440" i="1" s="1"/>
  <c r="AB440" i="1"/>
  <c r="Q214" i="1" a="1"/>
  <c r="Q214" i="1" s="1"/>
  <c r="AB214" i="1"/>
  <c r="Q183" i="1" a="1"/>
  <c r="Q183" i="1" s="1"/>
  <c r="AB183" i="1"/>
  <c r="Q421" i="1" a="1"/>
  <c r="Q421" i="1" s="1"/>
  <c r="AB421" i="1"/>
  <c r="Q384" i="1" a="1"/>
  <c r="Q384" i="1" s="1"/>
  <c r="AB384" i="1"/>
  <c r="Q58" i="1" a="1"/>
  <c r="Q58" i="1" s="1"/>
  <c r="AB58" i="1"/>
  <c r="Q285" i="1" a="1"/>
  <c r="Q285" i="1" s="1"/>
  <c r="AB285" i="1"/>
  <c r="Q8" i="1" a="1"/>
  <c r="Q8" i="1" s="1"/>
  <c r="AB8" i="1"/>
  <c r="Q236" i="1" a="1"/>
  <c r="Q236" i="1" s="1"/>
  <c r="AB236" i="1"/>
  <c r="Q266" i="1" a="1"/>
  <c r="Q266" i="1" s="1"/>
  <c r="AB266" i="1"/>
  <c r="Q224" i="1" a="1"/>
  <c r="Q224" i="1" s="1"/>
  <c r="AB224" i="1"/>
  <c r="Q462" i="1" a="1"/>
  <c r="Q462" i="1" s="1"/>
  <c r="AB462" i="1"/>
  <c r="Q45" i="1" a="1"/>
  <c r="Q45" i="1" s="1"/>
  <c r="AB45" i="1"/>
  <c r="Q448" i="1" a="1"/>
  <c r="Q448" i="1" s="1"/>
  <c r="AB448" i="1"/>
  <c r="Q223" i="1" a="1"/>
  <c r="Q223" i="1" s="1"/>
  <c r="AB223" i="1"/>
  <c r="Q449" i="1" a="1"/>
  <c r="Q449" i="1" s="1"/>
  <c r="AB449" i="1"/>
  <c r="Q101" i="1" a="1"/>
  <c r="Q101" i="1" s="1"/>
  <c r="AB101" i="1"/>
  <c r="Q371" i="1" a="1"/>
  <c r="Q371" i="1" s="1"/>
  <c r="AB371" i="1"/>
  <c r="Q107" i="1" a="1"/>
  <c r="Q107" i="1" s="1"/>
  <c r="AB107" i="1"/>
  <c r="Q302" i="1" a="1"/>
  <c r="Q302" i="1" s="1"/>
  <c r="AB302" i="1"/>
  <c r="Q319" i="1" a="1"/>
  <c r="Q319" i="1" s="1"/>
  <c r="AB319" i="1"/>
  <c r="Q155" i="1" a="1"/>
  <c r="Q155" i="1" s="1"/>
  <c r="AB155" i="1"/>
  <c r="Q331" i="1" a="1"/>
  <c r="Q331" i="1" s="1"/>
  <c r="AB331" i="1"/>
  <c r="Q465" i="1" a="1"/>
  <c r="Q465" i="1" s="1"/>
  <c r="AB465" i="1"/>
  <c r="Q364" i="1" a="1"/>
  <c r="Q364" i="1" s="1"/>
  <c r="AB364" i="1"/>
  <c r="Q99" i="1" a="1"/>
  <c r="Q99" i="1" s="1"/>
  <c r="AB99" i="1"/>
  <c r="Q98" i="1" a="1"/>
  <c r="Q98" i="1" s="1"/>
  <c r="AB98" i="1"/>
  <c r="Q428" i="1" a="1"/>
  <c r="Q428" i="1" s="1"/>
  <c r="AB428" i="1"/>
  <c r="Q140" i="1" a="1"/>
  <c r="Q140" i="1" s="1"/>
  <c r="AB140" i="1"/>
  <c r="Q225" i="1" a="1"/>
  <c r="Q225" i="1" s="1"/>
  <c r="AB225" i="1"/>
  <c r="Q495" i="1" a="1"/>
  <c r="Q495" i="1" s="1"/>
  <c r="AB495" i="1"/>
  <c r="Q226" i="1" a="1"/>
  <c r="Q226" i="1" s="1"/>
  <c r="AB226" i="1"/>
  <c r="Q157" i="1" a="1"/>
  <c r="Q157" i="1" s="1"/>
  <c r="AB157" i="1"/>
  <c r="Q232" i="1" a="1"/>
  <c r="Q232" i="1" s="1"/>
  <c r="AB232" i="1"/>
  <c r="Q136" i="1" a="1"/>
  <c r="Q136" i="1" s="1"/>
  <c r="AB480" i="1"/>
  <c r="AB389" i="1"/>
  <c r="AB296" i="1"/>
  <c r="AB189" i="1"/>
  <c r="AB74" i="1"/>
  <c r="Q499" i="1" a="1"/>
  <c r="Q499" i="1" s="1"/>
  <c r="AB499" i="1"/>
  <c r="Q336" i="1" a="1"/>
  <c r="Q336" i="1" s="1"/>
  <c r="AB336" i="1"/>
  <c r="Q30" i="1" a="1"/>
  <c r="Q30" i="1" s="1"/>
  <c r="AB30" i="1"/>
  <c r="Q248" i="1" a="1"/>
  <c r="Q248" i="1" s="1"/>
  <c r="AB248" i="1"/>
  <c r="Q340" i="1" a="1"/>
  <c r="Q340" i="1" s="1"/>
  <c r="AB340" i="1"/>
  <c r="Q452" i="1" a="1"/>
  <c r="Q452" i="1" s="1"/>
  <c r="AB452" i="1"/>
  <c r="Q68" i="1" a="1"/>
  <c r="Q68" i="1" s="1"/>
  <c r="AB68" i="1"/>
  <c r="Q127" i="1" a="1"/>
  <c r="Q127" i="1" s="1"/>
  <c r="AB127" i="1"/>
  <c r="Q447" i="1" a="1"/>
  <c r="Q447" i="1" s="1"/>
  <c r="AB447" i="1"/>
  <c r="Q188" i="1" a="1"/>
  <c r="Q188" i="1" s="1"/>
  <c r="AB188" i="1"/>
  <c r="Q346" i="1" a="1"/>
  <c r="Q346" i="1" s="1"/>
  <c r="AB346" i="1"/>
  <c r="Q54" i="1" a="1"/>
  <c r="Q54" i="1" s="1"/>
  <c r="AB54" i="1"/>
  <c r="Q38" i="1" a="1"/>
  <c r="Q38" i="1" s="1"/>
  <c r="AB38" i="1"/>
  <c r="Q193" i="1" a="1"/>
  <c r="Q193" i="1" s="1"/>
  <c r="AB193" i="1"/>
  <c r="Q90" i="1" a="1"/>
  <c r="Q90" i="1" s="1"/>
  <c r="AB90" i="1"/>
  <c r="Q215" i="1" a="1"/>
  <c r="Q215" i="1" s="1"/>
  <c r="AB215" i="1"/>
  <c r="Q420" i="1" a="1"/>
  <c r="Q420" i="1" s="1"/>
  <c r="AB420" i="1"/>
  <c r="Q490" i="1" a="1"/>
  <c r="Q490" i="1" s="1"/>
  <c r="AB490" i="1"/>
  <c r="Q335" i="1" a="1"/>
  <c r="Q335" i="1" s="1"/>
  <c r="AB335" i="1"/>
  <c r="Q451" i="1" a="1"/>
  <c r="Q451" i="1" s="1"/>
  <c r="AB451" i="1"/>
  <c r="Q303" i="1" a="1"/>
  <c r="Q303" i="1" s="1"/>
  <c r="AB303" i="1"/>
  <c r="Q358" i="1" a="1"/>
  <c r="Q358" i="1" s="1"/>
  <c r="AB358" i="1"/>
  <c r="Q70" i="1" a="1"/>
  <c r="Q70" i="1" s="1"/>
  <c r="AB70" i="1"/>
  <c r="Q316" i="1" a="1"/>
  <c r="Q316" i="1" s="1"/>
  <c r="AB316" i="1"/>
  <c r="Q177" i="1" a="1"/>
  <c r="Q177" i="1" s="1"/>
  <c r="AB177" i="1"/>
  <c r="Q406" i="1" a="1"/>
  <c r="Q406" i="1" s="1"/>
  <c r="AB406" i="1"/>
  <c r="Q173" i="1" a="1"/>
  <c r="Q173" i="1" s="1"/>
  <c r="AB173" i="1"/>
  <c r="Q391" i="1" a="1"/>
  <c r="Q391" i="1" s="1"/>
  <c r="AB391" i="1"/>
  <c r="Q180" i="1" a="1"/>
  <c r="Q180" i="1" s="1"/>
  <c r="AB180" i="1"/>
  <c r="Q357" i="1" a="1"/>
  <c r="Q357" i="1" s="1"/>
  <c r="AB357" i="1"/>
  <c r="Q454" i="1" a="1"/>
  <c r="Q454" i="1" s="1"/>
  <c r="AB454" i="1"/>
  <c r="Q178" i="1" a="1"/>
  <c r="Q178" i="1" s="1"/>
  <c r="AB178" i="1"/>
  <c r="Q484" i="1" a="1"/>
  <c r="Q484" i="1" s="1"/>
  <c r="AB484" i="1"/>
  <c r="Q458" i="1" a="1"/>
  <c r="Q458" i="1" s="1"/>
  <c r="AB458" i="1"/>
  <c r="Q168" i="1" a="1"/>
  <c r="Q168" i="1" s="1"/>
  <c r="AB168" i="1"/>
  <c r="Q169" i="1" a="1"/>
  <c r="Q169" i="1" s="1"/>
  <c r="AB169" i="1"/>
  <c r="Q443" i="1" a="1"/>
  <c r="Q443" i="1" s="1"/>
  <c r="Q287" i="1" a="1"/>
  <c r="Q287" i="1" s="1"/>
  <c r="AB477" i="1"/>
  <c r="AB386" i="1"/>
  <c r="AB289" i="1"/>
  <c r="AB182" i="1"/>
  <c r="AB66" i="1"/>
  <c r="Q254" i="1" a="1"/>
  <c r="Q254" i="1" s="1"/>
  <c r="AB254" i="1"/>
  <c r="Q19" i="1" a="1"/>
  <c r="Q19" i="1" s="1"/>
  <c r="AB19" i="1"/>
  <c r="Q162" i="1" a="1"/>
  <c r="Q162" i="1" s="1"/>
  <c r="AB162" i="1"/>
  <c r="Q123" i="1" a="1"/>
  <c r="Q123" i="1" s="1"/>
  <c r="AB123" i="1"/>
  <c r="Q56" i="1" a="1"/>
  <c r="Q56" i="1" s="1"/>
  <c r="AB56" i="1"/>
  <c r="Q198" i="1" a="1"/>
  <c r="Q198" i="1" s="1"/>
  <c r="AB198" i="1"/>
  <c r="Q393" i="1" a="1"/>
  <c r="Q393" i="1" s="1"/>
  <c r="AB393" i="1"/>
  <c r="Q91" i="1" a="1"/>
  <c r="Q91" i="1" s="1"/>
  <c r="AB91" i="1"/>
  <c r="Q13" i="1" a="1"/>
  <c r="Q13" i="1" s="1"/>
  <c r="AB13" i="1"/>
  <c r="Q299" i="1" a="1"/>
  <c r="Q299" i="1" s="1"/>
  <c r="AB299" i="1"/>
  <c r="Q106" i="1" a="1"/>
  <c r="Q106" i="1" s="1"/>
  <c r="AB106" i="1"/>
  <c r="Q207" i="1" a="1"/>
  <c r="Q207" i="1" s="1"/>
  <c r="AB207" i="1"/>
  <c r="Q51" i="1" a="1"/>
  <c r="Q51" i="1" s="1"/>
  <c r="AB51" i="1"/>
  <c r="Q165" i="1" a="1"/>
  <c r="Q165" i="1" s="1"/>
  <c r="AB165" i="1"/>
  <c r="Q231" i="1" a="1"/>
  <c r="Q231" i="1" s="1"/>
  <c r="AB231" i="1"/>
  <c r="Q344" i="1" a="1"/>
  <c r="Q344" i="1" s="1"/>
  <c r="AB344" i="1"/>
  <c r="Q356" i="1" a="1"/>
  <c r="Q356" i="1" s="1"/>
  <c r="AB461" i="1"/>
  <c r="AB372" i="1"/>
  <c r="AB270" i="1"/>
  <c r="AB161" i="1"/>
  <c r="AB44" i="1"/>
  <c r="Q94" i="1" a="1"/>
  <c r="Q94" i="1" s="1"/>
  <c r="AB94" i="1"/>
  <c r="Q67" i="1" a="1"/>
  <c r="Q67" i="1" s="1"/>
  <c r="AB67" i="1"/>
  <c r="Q150" i="1" a="1"/>
  <c r="Q150" i="1" s="1"/>
  <c r="AB150" i="1"/>
  <c r="Q126" i="1" a="1"/>
  <c r="Q126" i="1" s="1"/>
  <c r="AB126" i="1"/>
  <c r="Q445" i="1" a="1"/>
  <c r="Q445" i="1" s="1"/>
  <c r="AB445" i="1"/>
  <c r="Q260" i="1" a="1"/>
  <c r="Q260" i="1" s="1"/>
  <c r="AB260" i="1"/>
  <c r="Q360" i="1" a="1"/>
  <c r="Q360" i="1" s="1"/>
  <c r="AB360" i="1"/>
  <c r="Q18" i="1" a="1"/>
  <c r="Q18" i="1" s="1"/>
  <c r="AB18" i="1"/>
  <c r="Q310" i="1" a="1"/>
  <c r="Q310" i="1" s="1"/>
  <c r="AB310" i="1"/>
  <c r="Q326" i="1" a="1"/>
  <c r="Q326" i="1" s="1"/>
  <c r="AB326" i="1"/>
  <c r="Q388" i="1" a="1"/>
  <c r="Q388" i="1" s="1"/>
  <c r="AB388" i="1"/>
  <c r="Q5" i="1" a="1"/>
  <c r="Q5" i="1" s="1"/>
  <c r="AB5" i="1"/>
  <c r="Q164" i="1" a="1"/>
  <c r="Q164" i="1" s="1"/>
  <c r="AB164" i="1"/>
  <c r="Q264" i="1" a="1"/>
  <c r="Q264" i="1" s="1"/>
  <c r="AB264" i="1"/>
  <c r="Q64" i="1" a="1"/>
  <c r="Q64" i="1" s="1"/>
  <c r="AB64" i="1"/>
  <c r="Q309" i="1" a="1"/>
  <c r="Q309" i="1" s="1"/>
  <c r="AB309" i="1"/>
  <c r="Q288" i="1" a="1"/>
  <c r="Q288" i="1" s="1"/>
  <c r="AB288" i="1"/>
  <c r="Q392" i="1" a="1"/>
  <c r="Q392" i="1" s="1"/>
  <c r="AB392" i="1"/>
  <c r="Q419" i="1" a="1"/>
  <c r="Q419" i="1" s="1"/>
  <c r="AB419" i="1"/>
  <c r="Q78" i="1" a="1"/>
  <c r="Q78" i="1" s="1"/>
  <c r="AB78" i="1"/>
  <c r="Q431" i="1" a="1"/>
  <c r="Q431" i="1" s="1"/>
  <c r="AB431" i="1"/>
  <c r="Q89" i="1" a="1"/>
  <c r="Q89" i="1" s="1"/>
  <c r="AB89" i="1"/>
  <c r="Q476" i="1" a="1"/>
  <c r="Q476" i="1" s="1"/>
  <c r="AB476" i="1"/>
  <c r="Q282" i="1" a="1"/>
  <c r="Q282" i="1" s="1"/>
  <c r="AB282" i="1"/>
  <c r="Q306" i="1" a="1"/>
  <c r="Q306" i="1" s="1"/>
  <c r="AB306" i="1"/>
  <c r="Q199" i="1" a="1"/>
  <c r="Q199" i="1" s="1"/>
  <c r="AB199" i="1"/>
  <c r="Q271" i="1" a="1"/>
  <c r="Q271" i="1" s="1"/>
  <c r="AB271" i="1"/>
  <c r="Q221" i="1" a="1"/>
  <c r="Q221" i="1" s="1"/>
  <c r="AB221" i="1"/>
  <c r="Q35" i="1" a="1"/>
  <c r="Q35" i="1" s="1"/>
  <c r="AB35" i="1"/>
  <c r="Q417" i="1" a="1"/>
  <c r="Q417" i="1" s="1"/>
  <c r="AB417" i="1"/>
  <c r="Q276" i="1" a="1"/>
  <c r="Q276" i="1" s="1"/>
  <c r="AB276" i="1"/>
  <c r="Q109" i="1" a="1"/>
  <c r="Q109" i="1" s="1"/>
  <c r="AB109" i="1"/>
  <c r="Q416" i="1" a="1"/>
  <c r="Q416" i="1" s="1"/>
  <c r="AB416" i="1"/>
  <c r="Q272" i="1" a="1"/>
  <c r="Q272" i="1" s="1"/>
  <c r="AB272" i="1"/>
  <c r="Q92" i="1" a="1"/>
  <c r="Q92" i="1" s="1"/>
  <c r="AB92" i="1"/>
  <c r="Q497" i="1" a="1"/>
  <c r="Q497" i="1" s="1"/>
  <c r="AB459" i="1"/>
  <c r="AB370" i="1"/>
  <c r="AB269" i="1"/>
  <c r="AB160" i="1"/>
  <c r="AB42" i="1"/>
  <c r="Q351" i="1" a="1"/>
  <c r="Q351" i="1" s="1"/>
  <c r="AB351" i="1"/>
  <c r="Q143" i="1" a="1"/>
  <c r="Q143" i="1" s="1"/>
  <c r="AB143" i="1"/>
  <c r="Q312" i="1" a="1"/>
  <c r="Q312" i="1" s="1"/>
  <c r="AB312" i="1"/>
  <c r="Q464" i="1" a="1"/>
  <c r="Q464" i="1" s="1"/>
  <c r="AB464" i="1"/>
  <c r="Q425" i="1" a="1"/>
  <c r="Q425" i="1" s="1"/>
  <c r="AB425" i="1"/>
  <c r="Q139" i="1" a="1"/>
  <c r="Q139" i="1" s="1"/>
  <c r="AB139" i="1"/>
  <c r="Q108" i="1" a="1"/>
  <c r="Q108" i="1" s="1"/>
  <c r="AB108" i="1"/>
  <c r="Q367" i="1" a="1"/>
  <c r="Q367" i="1" s="1"/>
  <c r="AB367" i="1"/>
  <c r="Q441" i="1" a="1"/>
  <c r="Q441" i="1" s="1"/>
  <c r="AB441" i="1"/>
  <c r="Q73" i="1" a="1"/>
  <c r="Q73" i="1" s="1"/>
  <c r="AB73" i="1"/>
  <c r="Q82" i="1" a="1"/>
  <c r="Q82" i="1" s="1"/>
  <c r="AB82" i="1"/>
  <c r="Q179" i="1" a="1"/>
  <c r="Q179" i="1" s="1"/>
  <c r="AB179" i="1"/>
  <c r="Q200" i="1" a="1"/>
  <c r="Q200" i="1" s="1"/>
  <c r="AB200" i="1"/>
  <c r="Q280" i="1" a="1"/>
  <c r="Q280" i="1" s="1"/>
  <c r="AB280" i="1"/>
  <c r="Q426" i="1" a="1"/>
  <c r="Q426" i="1" s="1"/>
  <c r="AB426" i="1"/>
  <c r="Q22" i="1" a="1"/>
  <c r="Q22" i="1" s="1"/>
  <c r="AB22" i="1"/>
  <c r="Q71" i="1" a="1"/>
  <c r="Q71" i="1" s="1"/>
  <c r="AB71" i="1"/>
  <c r="Q209" i="1" a="1"/>
  <c r="Q209" i="1" s="1"/>
  <c r="AB209" i="1"/>
  <c r="Q197" i="1" a="1"/>
  <c r="Q197" i="1" s="1"/>
  <c r="AB197" i="1"/>
  <c r="Q466" i="1" a="1"/>
  <c r="Q466" i="1" s="1"/>
  <c r="AB466" i="1"/>
  <c r="Q251" i="1" a="1"/>
  <c r="Q251" i="1" s="1"/>
  <c r="AB251" i="1"/>
  <c r="Q158" i="1" a="1"/>
  <c r="Q158" i="1" s="1"/>
  <c r="AB158" i="1"/>
  <c r="Q39" i="1" a="1"/>
  <c r="Q39" i="1" s="1"/>
  <c r="AB39" i="1"/>
  <c r="Q418" i="1" a="1"/>
  <c r="Q418" i="1" s="1"/>
  <c r="AB418" i="1"/>
  <c r="Q444" i="1" a="1"/>
  <c r="Q444" i="1" s="1"/>
  <c r="AB444" i="1"/>
  <c r="Q427" i="1" a="1"/>
  <c r="Q427" i="1" s="1"/>
  <c r="AB427" i="1"/>
  <c r="Q93" i="1" a="1"/>
  <c r="Q93" i="1" s="1"/>
  <c r="AB93" i="1"/>
  <c r="Q24" i="1" a="1"/>
  <c r="Q24" i="1" s="1"/>
  <c r="AB24" i="1"/>
  <c r="Q186" i="1" a="1"/>
  <c r="Q186" i="1" s="1"/>
  <c r="AB186" i="1"/>
  <c r="Q131" i="1" a="1"/>
  <c r="Q131" i="1" s="1"/>
  <c r="AB131" i="1"/>
  <c r="Q171" i="1" a="1"/>
  <c r="Q171" i="1" s="1"/>
  <c r="AB171" i="1"/>
  <c r="Q436" i="1" a="1"/>
  <c r="Q436" i="1" s="1"/>
  <c r="AB436" i="1"/>
  <c r="Q410" i="1" a="1"/>
  <c r="Q410" i="1" s="1"/>
  <c r="AB410" i="1"/>
  <c r="Q229" i="1" a="1"/>
  <c r="Q229" i="1" s="1"/>
  <c r="AB229" i="1"/>
  <c r="Q49" i="1" a="1"/>
  <c r="Q49" i="1" s="1"/>
  <c r="AB49" i="1"/>
  <c r="Q327" i="1" a="1"/>
  <c r="Q327" i="1" s="1"/>
  <c r="AB327" i="1"/>
  <c r="Q81" i="1" a="1"/>
  <c r="Q81" i="1" s="1"/>
  <c r="AB81" i="1"/>
  <c r="Q175" i="1" a="1"/>
  <c r="Q175" i="1" s="1"/>
  <c r="AB175" i="1"/>
  <c r="Q60" i="1" a="1"/>
  <c r="Q60" i="1" s="1"/>
  <c r="AB60" i="1"/>
  <c r="Q387" i="1" a="1"/>
  <c r="Q387" i="1" s="1"/>
  <c r="AB387" i="1"/>
  <c r="Q311" i="1" a="1"/>
  <c r="Q311" i="1" s="1"/>
  <c r="AB311" i="1"/>
  <c r="Q411" i="1" a="1"/>
  <c r="Q411" i="1" s="1"/>
  <c r="AB411" i="1"/>
  <c r="Q156" i="1" a="1"/>
  <c r="Q156" i="1" s="1"/>
  <c r="AB156" i="1"/>
  <c r="Q146" i="1" a="1"/>
  <c r="Q146" i="1" s="1"/>
  <c r="Q222" i="1" a="1"/>
  <c r="Q222" i="1" s="1"/>
  <c r="S73" i="1"/>
  <c r="T73" i="1" s="1"/>
  <c r="U73" i="1" s="1"/>
  <c r="S153" i="1"/>
  <c r="T153" i="1" s="1"/>
  <c r="U153" i="1" s="1"/>
  <c r="S158" i="1"/>
  <c r="T158" i="1" s="1"/>
  <c r="U158" i="1" s="1"/>
  <c r="S436" i="1"/>
  <c r="T436" i="1" s="1"/>
  <c r="U436" i="1" s="1"/>
  <c r="S387" i="1"/>
  <c r="T387" i="1" s="1"/>
  <c r="U387" i="1" s="1"/>
  <c r="X3" i="1"/>
  <c r="Y49" i="1" s="1"/>
  <c r="AB453" i="1"/>
  <c r="AB362" i="1"/>
  <c r="AB263" i="1"/>
  <c r="AB153" i="1"/>
  <c r="AB29" i="1"/>
  <c r="Q194" i="1" a="1"/>
  <c r="Q194" i="1" s="1"/>
  <c r="AB194" i="1"/>
  <c r="Q478" i="1" a="1"/>
  <c r="Q478" i="1" s="1"/>
  <c r="AB478" i="1"/>
  <c r="Q442" i="1" a="1"/>
  <c r="Q442" i="1" s="1"/>
  <c r="AB442" i="1"/>
  <c r="Q255" i="1" a="1"/>
  <c r="Q255" i="1" s="1"/>
  <c r="AB255" i="1"/>
  <c r="Q324" i="1" a="1"/>
  <c r="Q324" i="1" s="1"/>
  <c r="AB324" i="1"/>
  <c r="Q95" i="1" a="1"/>
  <c r="Q95" i="1" s="1"/>
  <c r="AB95" i="1"/>
  <c r="Q404" i="1" a="1"/>
  <c r="Q404" i="1" s="1"/>
  <c r="AB404" i="1"/>
  <c r="Q475" i="1" a="1"/>
  <c r="Q475" i="1" s="1"/>
  <c r="AB475" i="1"/>
  <c r="Q432" i="1" a="1"/>
  <c r="Q432" i="1" s="1"/>
  <c r="AB432" i="1"/>
  <c r="Q245" i="1" a="1"/>
  <c r="Q245" i="1" s="1"/>
  <c r="AB245" i="1"/>
  <c r="Q33" i="1" a="1"/>
  <c r="Q33" i="1" s="1"/>
  <c r="AB33" i="1"/>
  <c r="Q294" i="1" a="1"/>
  <c r="Q294" i="1" s="1"/>
  <c r="AB294" i="1"/>
  <c r="Q20" i="1" a="1"/>
  <c r="Q20" i="1" s="1"/>
  <c r="AB20" i="1"/>
  <c r="Q446" i="1" a="1"/>
  <c r="Q446" i="1" s="1"/>
  <c r="AB446" i="1"/>
  <c r="Q154" i="1" a="1"/>
  <c r="Q154" i="1" s="1"/>
  <c r="AB154" i="1"/>
  <c r="Q25" i="1" a="1"/>
  <c r="Q25" i="1" s="1"/>
  <c r="AB25" i="1"/>
  <c r="Q433" i="1" a="1"/>
  <c r="Q433" i="1" s="1"/>
  <c r="AB433" i="1"/>
  <c r="Q463" i="1" a="1"/>
  <c r="Q463" i="1" s="1"/>
  <c r="AB463" i="1"/>
  <c r="Q479" i="1" a="1"/>
  <c r="Q479" i="1" s="1"/>
  <c r="AB479" i="1"/>
  <c r="Q460" i="1" a="1"/>
  <c r="Q460" i="1" s="1"/>
  <c r="AB460" i="1"/>
  <c r="Q385" i="1" a="1"/>
  <c r="Q385" i="1" s="1"/>
  <c r="AB385" i="1"/>
  <c r="Q227" i="1" a="1"/>
  <c r="Q227" i="1" s="1"/>
  <c r="AB227" i="1"/>
  <c r="Q290" i="1" a="1"/>
  <c r="Q290" i="1" s="1"/>
  <c r="AB290" i="1"/>
  <c r="Q21" i="1" a="1"/>
  <c r="Q21" i="1" s="1"/>
  <c r="AB21" i="1"/>
  <c r="Q7" i="1" a="1"/>
  <c r="Q7" i="1" s="1"/>
  <c r="AB7" i="1"/>
  <c r="Q37" i="1" a="1"/>
  <c r="Q37" i="1" s="1"/>
  <c r="AB37" i="1"/>
  <c r="Q434" i="1" a="1"/>
  <c r="Q434" i="1" s="1"/>
  <c r="AB434" i="1"/>
  <c r="Q147" i="1" a="1"/>
  <c r="Q147" i="1" s="1"/>
  <c r="AB147" i="1"/>
  <c r="Q353" i="1" a="1"/>
  <c r="Q353" i="1" s="1"/>
  <c r="AB353" i="1"/>
  <c r="Q141" i="1" a="1"/>
  <c r="Q141" i="1" s="1"/>
  <c r="AB141" i="1"/>
  <c r="Q398" i="1" a="1"/>
  <c r="Q398" i="1" s="1"/>
  <c r="AB398" i="1"/>
  <c r="Q468" i="1" a="1"/>
  <c r="Q468" i="1" s="1"/>
  <c r="AB468" i="1"/>
  <c r="Q159" i="1" a="1"/>
  <c r="Q159" i="1" s="1"/>
  <c r="Q325" i="1" a="1"/>
  <c r="Q325" i="1" s="1"/>
  <c r="Q361" i="1" a="1"/>
  <c r="Q361" i="1" s="1"/>
  <c r="S478" i="1"/>
  <c r="T478" i="1" s="1"/>
  <c r="U478" i="1" s="1"/>
  <c r="S95" i="1"/>
  <c r="T95" i="1" s="1"/>
  <c r="U95" i="1" s="1"/>
  <c r="S404" i="1"/>
  <c r="T404" i="1" s="1"/>
  <c r="U404" i="1" s="1"/>
  <c r="S446" i="1"/>
  <c r="T446" i="1" s="1"/>
  <c r="U446" i="1" s="1"/>
  <c r="S77" i="1"/>
  <c r="T77" i="1" s="1"/>
  <c r="U77" i="1" s="1"/>
  <c r="S287" i="1"/>
  <c r="T287" i="1" s="1"/>
  <c r="U287" i="1" s="1"/>
  <c r="S147" i="1"/>
  <c r="T147" i="1" s="1"/>
  <c r="U147" i="1" s="1"/>
  <c r="S353" i="1"/>
  <c r="T353" i="1" s="1"/>
  <c r="U353" i="1" s="1"/>
  <c r="AB438" i="1"/>
  <c r="AB348" i="1"/>
  <c r="AB244" i="1"/>
  <c r="AB133" i="1"/>
  <c r="AB9" i="1"/>
  <c r="Q34" i="1" a="1"/>
  <c r="Q34" i="1" s="1"/>
  <c r="AB34" i="1"/>
  <c r="Q23" i="1" a="1"/>
  <c r="Q23" i="1" s="1"/>
  <c r="AB23" i="1"/>
  <c r="Q55" i="1" a="1"/>
  <c r="Q55" i="1" s="1"/>
  <c r="AB55" i="1"/>
  <c r="Q122" i="1" a="1"/>
  <c r="Q122" i="1" s="1"/>
  <c r="AB122" i="1"/>
  <c r="Q41" i="1" a="1"/>
  <c r="Q41" i="1" s="1"/>
  <c r="AB41" i="1"/>
  <c r="Q281" i="1" a="1"/>
  <c r="Q281" i="1" s="1"/>
  <c r="AB281" i="1"/>
  <c r="Q167" i="1" a="1"/>
  <c r="Q167" i="1" s="1"/>
  <c r="AB167" i="1"/>
  <c r="Q284" i="1" a="1"/>
  <c r="Q284" i="1" s="1"/>
  <c r="AB284" i="1"/>
  <c r="Q28" i="1" a="1"/>
  <c r="Q28" i="1" s="1"/>
  <c r="AB28" i="1"/>
  <c r="Q61" i="1" a="1"/>
  <c r="Q61" i="1" s="1"/>
  <c r="AB61" i="1"/>
  <c r="Q72" i="1" a="1"/>
  <c r="Q72" i="1" s="1"/>
  <c r="AB72" i="1"/>
  <c r="Q354" i="1" a="1"/>
  <c r="Q354" i="1" s="1"/>
  <c r="Q253" i="1" a="1"/>
  <c r="Q253" i="1" s="1"/>
  <c r="Q494" i="1" a="1"/>
  <c r="Q494" i="1" s="1"/>
  <c r="S414" i="1"/>
  <c r="T414" i="1" s="1"/>
  <c r="U414" i="1" s="1"/>
  <c r="S482" i="1"/>
  <c r="T482" i="1" s="1"/>
  <c r="U482" i="1" s="1"/>
  <c r="S408" i="1"/>
  <c r="T408" i="1" s="1"/>
  <c r="U408" i="1" s="1"/>
  <c r="S497" i="1"/>
  <c r="T497" i="1" s="1"/>
  <c r="U497" i="1" s="1"/>
  <c r="S6" i="1"/>
  <c r="T6" i="1" s="1"/>
  <c r="U6" i="1" s="1"/>
  <c r="S40" i="1"/>
  <c r="T40" i="1" s="1"/>
  <c r="U40" i="1" s="1"/>
  <c r="S396" i="1"/>
  <c r="T396" i="1" s="1"/>
  <c r="U396" i="1" s="1"/>
  <c r="AB437" i="1"/>
  <c r="AB347" i="1"/>
  <c r="AB243" i="1"/>
  <c r="AB132" i="1"/>
  <c r="Q488" i="1" a="1"/>
  <c r="Q488" i="1" s="1"/>
  <c r="AB488" i="1"/>
  <c r="Q261" i="1" a="1"/>
  <c r="Q261" i="1" s="1"/>
  <c r="AB261" i="1"/>
  <c r="Q77" i="1" a="1"/>
  <c r="Q77" i="1" s="1"/>
  <c r="AB77" i="1"/>
  <c r="Q187" i="1" a="1"/>
  <c r="Q187" i="1" s="1"/>
  <c r="AB187" i="1"/>
  <c r="Q415" i="1" a="1"/>
  <c r="Q415" i="1" s="1"/>
  <c r="AB415" i="1"/>
  <c r="Q363" i="1" a="1"/>
  <c r="Q363" i="1" s="1"/>
  <c r="AB363" i="1"/>
  <c r="Q368" i="1" a="1"/>
  <c r="Q368" i="1" s="1"/>
  <c r="AB368" i="1"/>
  <c r="Q239" i="1" a="1"/>
  <c r="Q239" i="1" s="1"/>
  <c r="AB239" i="1"/>
  <c r="Q196" i="1" a="1"/>
  <c r="Q196" i="1" s="1"/>
  <c r="AB196" i="1"/>
  <c r="Q295" i="1" a="1"/>
  <c r="Q295" i="1" s="1"/>
  <c r="AB295" i="1"/>
  <c r="Q120" i="1" a="1"/>
  <c r="Q120" i="1" s="1"/>
  <c r="AB120" i="1"/>
  <c r="Q57" i="1" a="1"/>
  <c r="Q57" i="1" s="1"/>
  <c r="AB57" i="1"/>
  <c r="Q355" i="1" a="1"/>
  <c r="Q355" i="1" s="1"/>
  <c r="AB355" i="1"/>
  <c r="Q491" i="1" a="1"/>
  <c r="Q491" i="1" s="1"/>
  <c r="AB491" i="1"/>
  <c r="Q145" i="1" a="1"/>
  <c r="Q145" i="1" s="1"/>
  <c r="AB145" i="1"/>
  <c r="Q308" i="1" a="1"/>
  <c r="Q308" i="1" s="1"/>
  <c r="AB308" i="1"/>
  <c r="Q400" i="1" a="1"/>
  <c r="Q400" i="1" s="1"/>
  <c r="AB400" i="1"/>
  <c r="Q4" i="1" a="1"/>
  <c r="Q4" i="1" s="1"/>
  <c r="AB4" i="1"/>
  <c r="Q483" i="1" a="1"/>
  <c r="Q483" i="1" s="1"/>
  <c r="AB483" i="1"/>
  <c r="Q84" i="1" a="1"/>
  <c r="Q84" i="1" s="1"/>
  <c r="AB84" i="1"/>
  <c r="Q307" i="1" a="1"/>
  <c r="Q307" i="1" s="1"/>
  <c r="AB307" i="1"/>
  <c r="Q412" i="1" a="1"/>
  <c r="Q412" i="1" s="1"/>
  <c r="AB412" i="1"/>
  <c r="Q286" i="1" a="1"/>
  <c r="Q286" i="1" s="1"/>
  <c r="AB286" i="1"/>
  <c r="Q204" i="1" a="1"/>
  <c r="Q204" i="1" s="1"/>
  <c r="AB204" i="1"/>
  <c r="Q378" i="1" a="1"/>
  <c r="Q378" i="1" s="1"/>
  <c r="AB378" i="1"/>
  <c r="Q203" i="1" a="1"/>
  <c r="Q203" i="1" s="1"/>
  <c r="AB203" i="1"/>
  <c r="Q32" i="1" a="1"/>
  <c r="Q32" i="1" s="1"/>
  <c r="AB32" i="1"/>
  <c r="Q53" i="1" a="1"/>
  <c r="Q53" i="1" s="1"/>
  <c r="AB53" i="1"/>
  <c r="Q489" i="1" a="1"/>
  <c r="Q489" i="1" s="1"/>
  <c r="AB489" i="1"/>
  <c r="Q292" i="1" a="1"/>
  <c r="Q292" i="1" s="1"/>
  <c r="AB292" i="1"/>
  <c r="Q15" i="1" a="1"/>
  <c r="Q15" i="1" s="1"/>
  <c r="AB15" i="1"/>
  <c r="Q52" i="1" a="1"/>
  <c r="Q52" i="1" s="1"/>
  <c r="AB52" i="1"/>
  <c r="Q113" i="1" a="1"/>
  <c r="Q113" i="1" s="1"/>
  <c r="AB113" i="1"/>
  <c r="Q213" i="1" a="1"/>
  <c r="Q213" i="1" s="1"/>
  <c r="AB213" i="1"/>
  <c r="Q137" i="1" a="1"/>
  <c r="Q137" i="1" s="1"/>
  <c r="AB137" i="1"/>
  <c r="Q110" i="1" a="1"/>
  <c r="Q110" i="1" s="1"/>
  <c r="AB110" i="1"/>
  <c r="Q402" i="1" a="1"/>
  <c r="Q402" i="1" s="1"/>
  <c r="AB402" i="1"/>
  <c r="Q11" i="1" a="1"/>
  <c r="Q11" i="1" s="1"/>
  <c r="AB11" i="1"/>
  <c r="Q383" i="1" a="1"/>
  <c r="Q383" i="1" s="1"/>
  <c r="Q376" i="1" a="1"/>
  <c r="Q376" i="1" s="1"/>
  <c r="AB429" i="1"/>
  <c r="AB341" i="1"/>
  <c r="AB237" i="1"/>
  <c r="AB124" i="1"/>
  <c r="Q485" i="1" a="1"/>
  <c r="Q485" i="1" s="1"/>
  <c r="AB485" i="1"/>
  <c r="Q267" i="1" a="1"/>
  <c r="Q267" i="1" s="1"/>
  <c r="AB267" i="1"/>
  <c r="Q79" i="1" a="1"/>
  <c r="Q79" i="1" s="1"/>
  <c r="AB79" i="1"/>
  <c r="Q219" i="1" a="1"/>
  <c r="Q219" i="1" s="1"/>
  <c r="AB219" i="1"/>
  <c r="Q129" i="1" a="1"/>
  <c r="Q129" i="1" s="1"/>
  <c r="AB129" i="1"/>
  <c r="Q403" i="1" a="1"/>
  <c r="Q403" i="1" s="1"/>
  <c r="AB403" i="1"/>
  <c r="Q242" i="1" a="1"/>
  <c r="Q242" i="1" s="1"/>
  <c r="AB242" i="1"/>
  <c r="Q375" i="1" a="1"/>
  <c r="Q375" i="1" s="1"/>
  <c r="AB375" i="1"/>
  <c r="Q256" i="1" a="1"/>
  <c r="Q256" i="1" s="1"/>
  <c r="AB256" i="1"/>
  <c r="Q482" i="1" a="1"/>
  <c r="Q482" i="1" s="1"/>
  <c r="AB482" i="1"/>
  <c r="Q246" i="1" a="1"/>
  <c r="Q246" i="1" s="1"/>
  <c r="AB246" i="1"/>
  <c r="Q408" i="1" a="1"/>
  <c r="Q408" i="1" s="1"/>
  <c r="AB408" i="1"/>
  <c r="Q268" i="1" a="1"/>
  <c r="Q268" i="1" s="1"/>
  <c r="AB268" i="1"/>
  <c r="Q252" i="1" a="1"/>
  <c r="Q252" i="1" s="1"/>
  <c r="AB252" i="1"/>
  <c r="Q128" i="1" a="1"/>
  <c r="Q128" i="1" s="1"/>
  <c r="AB128" i="1"/>
  <c r="Q3" i="1" a="1"/>
  <c r="Q3" i="1" s="1"/>
  <c r="AB3" i="1"/>
  <c r="Q6" i="1" a="1"/>
  <c r="Q6" i="1" s="1"/>
  <c r="AB6" i="1"/>
  <c r="Q220" i="1" a="1"/>
  <c r="Q220" i="1" s="1"/>
  <c r="AB220" i="1"/>
  <c r="Q330" i="1" a="1"/>
  <c r="Q330" i="1" s="1"/>
  <c r="AB330" i="1"/>
  <c r="Q265" i="1" a="1"/>
  <c r="Q265" i="1" s="1"/>
  <c r="AB265" i="1"/>
  <c r="Q501" i="1" a="1"/>
  <c r="Q501" i="1" s="1"/>
  <c r="AB501" i="1"/>
  <c r="Q46" i="1" a="1"/>
  <c r="Q46" i="1" s="1"/>
  <c r="AB46" i="1"/>
  <c r="Q205" i="1" a="1"/>
  <c r="Q205" i="1" s="1"/>
  <c r="AB205" i="1"/>
  <c r="Q83" i="1" a="1"/>
  <c r="Q83" i="1" s="1"/>
  <c r="AB83" i="1"/>
  <c r="Q493" i="1" a="1"/>
  <c r="Q493" i="1" s="1"/>
  <c r="AB493" i="1"/>
  <c r="Q381" i="1" a="1"/>
  <c r="Q381" i="1" s="1"/>
  <c r="AB381" i="1"/>
  <c r="Q190" i="1" a="1"/>
  <c r="Q190" i="1" s="1"/>
  <c r="AB190" i="1"/>
  <c r="Q40" i="1" a="1"/>
  <c r="Q40" i="1" s="1"/>
  <c r="AB40" i="1"/>
  <c r="Q396" i="1" a="1"/>
  <c r="Q396" i="1" s="1"/>
  <c r="AB396" i="1"/>
  <c r="Q76" i="1" a="1"/>
  <c r="Q76" i="1" s="1"/>
  <c r="AB76" i="1"/>
  <c r="Q298" i="1" a="1"/>
  <c r="Q298" i="1" s="1"/>
  <c r="AB298" i="1"/>
  <c r="Q142" i="1" a="1"/>
  <c r="Q142" i="1" s="1"/>
  <c r="AB142" i="1"/>
  <c r="Q134" i="1" a="1"/>
  <c r="Q134" i="1" s="1"/>
  <c r="AB134" i="1"/>
  <c r="Q423" i="1" a="1"/>
  <c r="Q423" i="1" s="1"/>
  <c r="AB423" i="1"/>
  <c r="Q382" i="1" a="1"/>
  <c r="Q382" i="1" s="1"/>
  <c r="AB382" i="1"/>
  <c r="Q262" i="1" a="1"/>
  <c r="Q262" i="1" s="1"/>
  <c r="AB262" i="1"/>
  <c r="Q2" i="1" a="1"/>
  <c r="Q2" i="1" s="1"/>
  <c r="AB2" i="1"/>
  <c r="Q405" i="1" a="1"/>
  <c r="Q405" i="1" s="1"/>
  <c r="AB405" i="1"/>
  <c r="Q112" i="1" a="1"/>
  <c r="Q112" i="1" s="1"/>
  <c r="AB112" i="1"/>
  <c r="Q456" i="1" a="1"/>
  <c r="Q456" i="1" s="1"/>
  <c r="AB456" i="1"/>
  <c r="Q500" i="1" a="1"/>
  <c r="Q500" i="1" s="1"/>
  <c r="AB500" i="1"/>
  <c r="Q250" i="1" a="1"/>
  <c r="Q250" i="1" s="1"/>
  <c r="AB250" i="1"/>
  <c r="Q16" i="1" a="1"/>
  <c r="Q16" i="1" s="1"/>
  <c r="AB16" i="1"/>
  <c r="Q345" i="1" a="1"/>
  <c r="Q345" i="1" s="1"/>
  <c r="AB345" i="1"/>
  <c r="Q328" i="1" a="1"/>
  <c r="Q328" i="1" s="1"/>
  <c r="AB328" i="1"/>
  <c r="Q283" i="1" a="1"/>
  <c r="Q283" i="1" s="1"/>
  <c r="AB283" i="1"/>
  <c r="Q259" i="1" a="1"/>
  <c r="Q259" i="1" s="1"/>
  <c r="AB259" i="1"/>
  <c r="Q257" i="1" a="1"/>
  <c r="Q257" i="1" s="1"/>
  <c r="AB257" i="1"/>
  <c r="Q487" i="1" a="1"/>
  <c r="Q487" i="1" s="1"/>
  <c r="AB487" i="1"/>
  <c r="Q234" i="1" a="1"/>
  <c r="Q234" i="1" s="1"/>
  <c r="AB234" i="1"/>
  <c r="Q439" i="1" a="1"/>
  <c r="Q439" i="1" s="1"/>
  <c r="AB439" i="1"/>
  <c r="Q334" i="1" a="1"/>
  <c r="Q334" i="1" s="1"/>
  <c r="AB334" i="1"/>
  <c r="Q342" i="1" a="1"/>
  <c r="Q342" i="1" s="1"/>
  <c r="AB342" i="1"/>
  <c r="Q135" i="1" a="1"/>
  <c r="Q135" i="1" s="1"/>
  <c r="AB135" i="1"/>
  <c r="Q395" i="1" a="1"/>
  <c r="Q395" i="1" s="1"/>
  <c r="AB395" i="1"/>
  <c r="Q457" i="1" a="1"/>
  <c r="Q457" i="1" s="1"/>
  <c r="AB457" i="1"/>
  <c r="Q279" i="1" a="1"/>
  <c r="Q279" i="1" s="1"/>
  <c r="AB279" i="1"/>
  <c r="Q374" i="1" a="1"/>
  <c r="Q374" i="1" s="1"/>
  <c r="AB374" i="1"/>
  <c r="Q100" i="1" a="1"/>
  <c r="Q100" i="1" s="1"/>
  <c r="AB100" i="1"/>
  <c r="Q275" i="1" a="1"/>
  <c r="Q275" i="1" s="1"/>
  <c r="AB275" i="1"/>
  <c r="Q117" i="1" a="1"/>
  <c r="Q117" i="1" s="1"/>
  <c r="AB117" i="1"/>
  <c r="Q63" i="1" a="1"/>
  <c r="Q63" i="1" s="1"/>
  <c r="AB63" i="1"/>
  <c r="Q26" i="1" a="1"/>
  <c r="Q26" i="1" s="1"/>
  <c r="AB26" i="1"/>
  <c r="Q27" i="1" a="1"/>
  <c r="Q27" i="1" s="1"/>
  <c r="AB27" i="1"/>
  <c r="Q399" i="1" a="1"/>
  <c r="Q399" i="1" s="1"/>
  <c r="AB399" i="1"/>
  <c r="Q473" i="1" a="1"/>
  <c r="Q473" i="1" s="1"/>
  <c r="AB473" i="1"/>
  <c r="Q12" i="1" a="1"/>
  <c r="Q12" i="1" s="1"/>
  <c r="AB414" i="1"/>
  <c r="AB323" i="1"/>
  <c r="AB218" i="1"/>
  <c r="AB104" i="1"/>
  <c r="Q278" i="1" a="1"/>
  <c r="Q278" i="1" s="1"/>
  <c r="AB278" i="1"/>
  <c r="Q407" i="1" a="1"/>
  <c r="Q407" i="1" s="1"/>
  <c r="AB407" i="1"/>
  <c r="Q235" i="1" a="1"/>
  <c r="Q235" i="1" s="1"/>
  <c r="AB235" i="1"/>
  <c r="Q195" i="1" a="1"/>
  <c r="Q195" i="1" s="1"/>
  <c r="AB195" i="1"/>
  <c r="Q163" i="1" a="1"/>
  <c r="Q163" i="1" s="1"/>
  <c r="AB163" i="1"/>
  <c r="Q130" i="1" a="1"/>
  <c r="Q130" i="1" s="1"/>
  <c r="AB130" i="1"/>
  <c r="Q118" i="1" a="1"/>
  <c r="Q118" i="1" s="1"/>
  <c r="AB118" i="1"/>
  <c r="Q321" i="1" a="1"/>
  <c r="Q321" i="1" s="1"/>
  <c r="AB321" i="1"/>
  <c r="Q304" i="1" a="1"/>
  <c r="Q304" i="1" s="1"/>
  <c r="AB304" i="1"/>
  <c r="Q337" i="1" a="1"/>
  <c r="Q337" i="1" s="1"/>
  <c r="AB337" i="1"/>
  <c r="Q208" i="1" a="1"/>
  <c r="Q208" i="1" s="1"/>
  <c r="AB208" i="1"/>
  <c r="Q274" i="1" a="1"/>
  <c r="Q274" i="1" s="1"/>
  <c r="AB274" i="1"/>
  <c r="Q359" i="1" a="1"/>
  <c r="Q359" i="1" s="1"/>
  <c r="AB359" i="1"/>
  <c r="Q144" i="1" a="1"/>
  <c r="Q144" i="1" s="1"/>
  <c r="AB144" i="1"/>
  <c r="Q152" i="1" a="1"/>
  <c r="Q152" i="1" s="1"/>
  <c r="AB152" i="1"/>
  <c r="Q172" i="1" a="1"/>
  <c r="Q172" i="1" s="1"/>
  <c r="AB172" i="1"/>
  <c r="Q492" i="1" a="1"/>
  <c r="Q492" i="1" s="1"/>
  <c r="AB492" i="1"/>
  <c r="Q424" i="1" a="1"/>
  <c r="Q424" i="1" s="1"/>
  <c r="AB424" i="1"/>
  <c r="Q317" i="1" a="1"/>
  <c r="Q317" i="1" s="1"/>
  <c r="AB317" i="1"/>
  <c r="Q149" i="1" a="1"/>
  <c r="Q149" i="1" s="1"/>
  <c r="AB149" i="1"/>
  <c r="Q86" i="1" a="1"/>
  <c r="Q86" i="1" s="1"/>
  <c r="Q43" i="1" a="1"/>
  <c r="Q43" i="1" s="1"/>
  <c r="Y124" i="1"/>
  <c r="AB413" i="1"/>
  <c r="AB322" i="1"/>
  <c r="AB217" i="1"/>
  <c r="AB102" i="1"/>
  <c r="Q114" i="1" a="1"/>
  <c r="Q114" i="1" s="1"/>
  <c r="AB114" i="1"/>
  <c r="Q380" i="1" a="1"/>
  <c r="Q380" i="1" s="1"/>
  <c r="AB380" i="1"/>
  <c r="Q333" i="1" a="1"/>
  <c r="Q333" i="1" s="1"/>
  <c r="AB333" i="1"/>
  <c r="Q17" i="1" a="1"/>
  <c r="Q17" i="1" s="1"/>
  <c r="AB17" i="1"/>
  <c r="Q184" i="1" a="1"/>
  <c r="Q184" i="1" s="1"/>
  <c r="AB184" i="1"/>
  <c r="Q148" i="1" a="1"/>
  <c r="Q148" i="1" s="1"/>
  <c r="AB148" i="1"/>
  <c r="Q320" i="1" a="1"/>
  <c r="Q320" i="1" s="1"/>
  <c r="AB320" i="1"/>
  <c r="Q339" i="1" a="1"/>
  <c r="Q339" i="1" s="1"/>
  <c r="AB339" i="1"/>
  <c r="Q277" i="1" a="1"/>
  <c r="Q277" i="1" s="1"/>
  <c r="AB277" i="1"/>
  <c r="Q36" i="1" a="1"/>
  <c r="Q36" i="1" s="1"/>
  <c r="AB36" i="1"/>
  <c r="Q116" i="1" a="1"/>
  <c r="Q116" i="1" s="1"/>
  <c r="AB116" i="1"/>
  <c r="Q450" i="1" a="1"/>
  <c r="Q450" i="1" s="1"/>
  <c r="AB450" i="1"/>
  <c r="Q174" i="1" a="1"/>
  <c r="Q174" i="1" s="1"/>
  <c r="AB174" i="1"/>
  <c r="Q430" i="1" a="1"/>
  <c r="Q430" i="1" s="1"/>
  <c r="AB430" i="1"/>
  <c r="Q125" i="1" a="1"/>
  <c r="Q125" i="1" s="1"/>
  <c r="AB125" i="1"/>
  <c r="Q192" i="1" a="1"/>
  <c r="Q192" i="1" s="1"/>
  <c r="AB192" i="1"/>
  <c r="Q233" i="1" a="1"/>
  <c r="Q233" i="1" s="1"/>
  <c r="AB233" i="1"/>
  <c r="Q373" i="1" a="1"/>
  <c r="Q373" i="1" s="1"/>
  <c r="AB373" i="1"/>
  <c r="Q206" i="1" a="1"/>
  <c r="Q206" i="1" s="1"/>
  <c r="AB206" i="1"/>
  <c r="Q377" i="1" a="1"/>
  <c r="Q377" i="1" s="1"/>
  <c r="AB377" i="1"/>
  <c r="Q48" i="1" a="1"/>
  <c r="Q48" i="1" s="1"/>
  <c r="AB48" i="1"/>
  <c r="Q228" i="1" a="1"/>
  <c r="Q228" i="1" s="1"/>
  <c r="AB228" i="1"/>
  <c r="Q201" i="1" a="1"/>
  <c r="Q201" i="1" s="1"/>
  <c r="AB201" i="1"/>
  <c r="Q62" i="1" a="1"/>
  <c r="Q62" i="1" s="1"/>
  <c r="AB62" i="1"/>
  <c r="Q105" i="1" a="1"/>
  <c r="Q105" i="1" s="1"/>
  <c r="AB105" i="1"/>
  <c r="Q69" i="1" a="1"/>
  <c r="Q69" i="1" s="1"/>
  <c r="AB69" i="1"/>
  <c r="Q343" i="1" a="1"/>
  <c r="Q343" i="1" s="1"/>
  <c r="AB343" i="1"/>
  <c r="Q365" i="1" a="1"/>
  <c r="Q365" i="1" s="1"/>
  <c r="AB365" i="1"/>
  <c r="Q258" i="1" a="1"/>
  <c r="Q258" i="1" s="1"/>
  <c r="AB258" i="1"/>
  <c r="Q47" i="1" a="1"/>
  <c r="Q47" i="1" s="1"/>
  <c r="AB47" i="1"/>
  <c r="Q87" i="1" a="1"/>
  <c r="Q87" i="1" s="1"/>
  <c r="AB87" i="1"/>
  <c r="Q121" i="1" a="1"/>
  <c r="Q121" i="1" s="1"/>
  <c r="AB121" i="1"/>
  <c r="Q85" i="1" a="1"/>
  <c r="Q85" i="1" s="1"/>
  <c r="AB85" i="1"/>
  <c r="Q202" i="1" a="1"/>
  <c r="Q202" i="1" s="1"/>
  <c r="AB202" i="1"/>
  <c r="Q115" i="1" a="1"/>
  <c r="Q115" i="1" s="1"/>
  <c r="AB115" i="1"/>
  <c r="Q212" i="1" a="1"/>
  <c r="Q212" i="1" s="1"/>
  <c r="AB212" i="1"/>
  <c r="Q486" i="1" a="1"/>
  <c r="Q486" i="1" s="1"/>
  <c r="AB486" i="1"/>
  <c r="Q103" i="1" a="1"/>
  <c r="Q103" i="1" s="1"/>
  <c r="AB103" i="1"/>
  <c r="Q10" i="1" a="1"/>
  <c r="Q10" i="1" s="1"/>
  <c r="AB10" i="1"/>
  <c r="Q301" i="1" a="1"/>
  <c r="Q301" i="1" s="1"/>
  <c r="AB301" i="1"/>
  <c r="Q97" i="1" a="1"/>
  <c r="Q97" i="1" s="1"/>
  <c r="AB97" i="1"/>
  <c r="Q472" i="1" a="1"/>
  <c r="Q472" i="1" s="1"/>
  <c r="AB472" i="1"/>
  <c r="Q247" i="1" a="1"/>
  <c r="Q247" i="1" s="1"/>
  <c r="AB247" i="1"/>
  <c r="Q230" i="1" a="1"/>
  <c r="Q230" i="1" s="1"/>
  <c r="AB230" i="1"/>
  <c r="Q470" i="1" a="1"/>
  <c r="Q470" i="1" s="1"/>
  <c r="AB470" i="1"/>
  <c r="Q435" i="1" a="1"/>
  <c r="Q435" i="1" s="1"/>
  <c r="AB435" i="1"/>
  <c r="Q366" i="1" a="1"/>
  <c r="Q366" i="1" s="1"/>
  <c r="AB366" i="1"/>
  <c r="Q469" i="1" a="1"/>
  <c r="Q469" i="1" s="1"/>
  <c r="AB469" i="1"/>
  <c r="Q350" i="1" a="1"/>
  <c r="Q350" i="1" s="1"/>
  <c r="AB350" i="1"/>
  <c r="Q80" i="1" a="1"/>
  <c r="Q80" i="1" s="1"/>
  <c r="AB80" i="1"/>
  <c r="Q332" i="1" a="1"/>
  <c r="Q332" i="1" s="1"/>
  <c r="AB332" i="1"/>
  <c r="Q313" i="1" a="1"/>
  <c r="Q313" i="1" s="1"/>
  <c r="Q369" i="1" a="1"/>
  <c r="Q369" i="1" s="1"/>
  <c r="AB498" i="1"/>
  <c r="AB409" i="1"/>
  <c r="AB315" i="1"/>
  <c r="AB210" i="1"/>
  <c r="AB96" i="1"/>
  <c r="S220" i="1"/>
  <c r="T220" i="1" s="1"/>
  <c r="U220" i="1" s="1"/>
  <c r="S210" i="1"/>
  <c r="T210" i="1" s="1"/>
  <c r="U210" i="1" s="1"/>
  <c r="S82" i="1"/>
  <c r="T82" i="1" s="1"/>
  <c r="U82" i="1" s="1"/>
  <c r="S280" i="1"/>
  <c r="T280" i="1" s="1"/>
  <c r="U280" i="1" s="1"/>
  <c r="S71" i="1"/>
  <c r="T71" i="1" s="1"/>
  <c r="U71" i="1" s="1"/>
  <c r="S131" i="1"/>
  <c r="T131" i="1" s="1"/>
  <c r="U131" i="1" s="1"/>
  <c r="S410" i="1"/>
  <c r="T410" i="1" s="1"/>
  <c r="U410" i="1" s="1"/>
  <c r="S459" i="1"/>
  <c r="T459" i="1" s="1"/>
  <c r="U459" i="1" s="1"/>
  <c r="S60" i="1"/>
  <c r="T60" i="1" s="1"/>
  <c r="U60" i="1" s="1"/>
  <c r="S242" i="1"/>
  <c r="T242" i="1" s="1"/>
  <c r="U242" i="1" s="1"/>
  <c r="S136" i="1"/>
  <c r="T136" i="1" s="1"/>
  <c r="U136" i="1" s="1"/>
  <c r="S442" i="1"/>
  <c r="T442" i="1" s="1"/>
  <c r="U442" i="1" s="1"/>
  <c r="S315" i="1"/>
  <c r="T315" i="1" s="1"/>
  <c r="U315" i="1" s="1"/>
  <c r="S245" i="1"/>
  <c r="T245" i="1" s="1"/>
  <c r="U245" i="1" s="1"/>
  <c r="S385" i="1"/>
  <c r="T385" i="1" s="1"/>
  <c r="U385" i="1" s="1"/>
  <c r="S37" i="1"/>
  <c r="T37" i="1" s="1"/>
  <c r="U37" i="1" s="1"/>
  <c r="S398" i="1"/>
  <c r="T398" i="1" s="1"/>
  <c r="U398" i="1" s="1"/>
  <c r="S79" i="1"/>
  <c r="T79" i="1" s="1"/>
  <c r="U79" i="1" s="1"/>
  <c r="S129" i="1"/>
  <c r="T129" i="1" s="1"/>
  <c r="U129" i="1" s="1"/>
  <c r="S268" i="1"/>
  <c r="T268" i="1" s="1"/>
  <c r="U268" i="1" s="1"/>
  <c r="S501" i="1"/>
  <c r="T501" i="1" s="1"/>
  <c r="U501" i="1" s="1"/>
  <c r="S493" i="1"/>
  <c r="T493" i="1" s="1"/>
  <c r="U493" i="1" s="1"/>
  <c r="S190" i="1"/>
  <c r="T190" i="1" s="1"/>
  <c r="U190" i="1" s="1"/>
  <c r="S200" i="1"/>
  <c r="T200" i="1" s="1"/>
  <c r="U200" i="1" s="1"/>
  <c r="S263" i="1"/>
  <c r="T263" i="1" s="1"/>
  <c r="U263" i="1" s="1"/>
  <c r="S362" i="1"/>
  <c r="T362" i="1" s="1"/>
  <c r="U362" i="1" s="1"/>
  <c r="S197" i="1"/>
  <c r="T197" i="1" s="1"/>
  <c r="U197" i="1" s="1"/>
  <c r="S466" i="1"/>
  <c r="T466" i="1" s="1"/>
  <c r="U466" i="1" s="1"/>
  <c r="S418" i="1"/>
  <c r="T418" i="1" s="1"/>
  <c r="U418" i="1" s="1"/>
  <c r="S269" i="1"/>
  <c r="T269" i="1" s="1"/>
  <c r="U269" i="1" s="1"/>
  <c r="S93" i="1"/>
  <c r="T93" i="1" s="1"/>
  <c r="U93" i="1" s="1"/>
  <c r="S171" i="1"/>
  <c r="T171" i="1" s="1"/>
  <c r="U171" i="1" s="1"/>
  <c r="S229" i="1"/>
  <c r="T229" i="1" s="1"/>
  <c r="U229" i="1" s="1"/>
  <c r="S81" i="1"/>
  <c r="T81" i="1" s="1"/>
  <c r="U81" i="1" s="1"/>
  <c r="S311" i="1"/>
  <c r="T311" i="1" s="1"/>
  <c r="U311" i="1" s="1"/>
  <c r="S255" i="1"/>
  <c r="T255" i="1" s="1"/>
  <c r="U255" i="1" s="1"/>
  <c r="S324" i="1"/>
  <c r="T324" i="1" s="1"/>
  <c r="U324" i="1" s="1"/>
  <c r="S261" i="1"/>
  <c r="T261" i="1" s="1"/>
  <c r="U261" i="1" s="1"/>
  <c r="S475" i="1"/>
  <c r="T475" i="1" s="1"/>
  <c r="U475" i="1" s="1"/>
  <c r="S432" i="1"/>
  <c r="T432" i="1" s="1"/>
  <c r="U432" i="1" s="1"/>
  <c r="S294" i="1"/>
  <c r="T294" i="1" s="1"/>
  <c r="U294" i="1" s="1"/>
  <c r="S20" i="1"/>
  <c r="T20" i="1" s="1"/>
  <c r="U20" i="1" s="1"/>
  <c r="S154" i="1"/>
  <c r="T154" i="1" s="1"/>
  <c r="U154" i="1" s="1"/>
  <c r="S25" i="1"/>
  <c r="T25" i="1" s="1"/>
  <c r="U25" i="1" s="1"/>
  <c r="S433" i="1"/>
  <c r="T433" i="1" s="1"/>
  <c r="U433" i="1" s="1"/>
  <c r="S463" i="1"/>
  <c r="T463" i="1" s="1"/>
  <c r="U463" i="1" s="1"/>
  <c r="S479" i="1"/>
  <c r="T479" i="1" s="1"/>
  <c r="U479" i="1" s="1"/>
  <c r="S227" i="1"/>
  <c r="T227" i="1" s="1"/>
  <c r="U227" i="1" s="1"/>
  <c r="S290" i="1"/>
  <c r="T290" i="1" s="1"/>
  <c r="U290" i="1" s="1"/>
  <c r="S161" i="1"/>
  <c r="T161" i="1" s="1"/>
  <c r="U161" i="1" s="1"/>
  <c r="S356" i="1"/>
  <c r="T356" i="1" s="1"/>
  <c r="U356" i="1" s="1"/>
  <c r="S21" i="1"/>
  <c r="T21" i="1" s="1"/>
  <c r="U21" i="1" s="1"/>
  <c r="S7" i="1"/>
  <c r="T7" i="1" s="1"/>
  <c r="U7" i="1" s="1"/>
  <c r="S434" i="1"/>
  <c r="T434" i="1" s="1"/>
  <c r="U434" i="1" s="1"/>
  <c r="S141" i="1"/>
  <c r="T141" i="1" s="1"/>
  <c r="U141" i="1" s="1"/>
  <c r="S179" i="1"/>
  <c r="T179" i="1" s="1"/>
  <c r="U179" i="1" s="1"/>
  <c r="S22" i="1"/>
  <c r="T22" i="1" s="1"/>
  <c r="U22" i="1" s="1"/>
  <c r="S209" i="1"/>
  <c r="T209" i="1" s="1"/>
  <c r="U209" i="1" s="1"/>
  <c r="S251" i="1"/>
  <c r="T251" i="1" s="1"/>
  <c r="U251" i="1" s="1"/>
  <c r="S39" i="1"/>
  <c r="T39" i="1" s="1"/>
  <c r="U39" i="1" s="1"/>
  <c r="S444" i="1"/>
  <c r="T444" i="1" s="1"/>
  <c r="U444" i="1" s="1"/>
  <c r="S24" i="1"/>
  <c r="T24" i="1" s="1"/>
  <c r="U24" i="1" s="1"/>
  <c r="S102" i="1"/>
  <c r="T102" i="1" s="1"/>
  <c r="U102" i="1" s="1"/>
  <c r="S49" i="1"/>
  <c r="T49" i="1" s="1"/>
  <c r="U49" i="1" s="1"/>
  <c r="S175" i="1"/>
  <c r="T175" i="1" s="1"/>
  <c r="U175" i="1" s="1"/>
  <c r="S411" i="1"/>
  <c r="T411" i="1" s="1"/>
  <c r="U411" i="1" s="1"/>
  <c r="S267" i="1"/>
  <c r="T267" i="1" s="1"/>
  <c r="U267" i="1" s="1"/>
  <c r="S219" i="1"/>
  <c r="T219" i="1" s="1"/>
  <c r="U219" i="1" s="1"/>
  <c r="S403" i="1"/>
  <c r="T403" i="1" s="1"/>
  <c r="U403" i="1" s="1"/>
  <c r="S375" i="1"/>
  <c r="T375" i="1" s="1"/>
  <c r="U375" i="1" s="1"/>
  <c r="S86" i="1"/>
  <c r="T86" i="1" s="1"/>
  <c r="U86" i="1" s="1"/>
  <c r="S246" i="1"/>
  <c r="T246" i="1" s="1"/>
  <c r="U246" i="1" s="1"/>
  <c r="S252" i="1"/>
  <c r="T252" i="1" s="1"/>
  <c r="U252" i="1" s="1"/>
  <c r="S394" i="1"/>
  <c r="T394" i="1" s="1"/>
  <c r="U394" i="1" s="1"/>
  <c r="S128" i="1"/>
  <c r="T128" i="1" s="1"/>
  <c r="U128" i="1" s="1"/>
  <c r="S3" i="1"/>
  <c r="T3" i="1" s="1"/>
  <c r="U3" i="1" s="1"/>
  <c r="S330" i="1"/>
  <c r="T330" i="1" s="1"/>
  <c r="U330" i="1" s="1"/>
  <c r="S265" i="1"/>
  <c r="T265" i="1" s="1"/>
  <c r="U265" i="1" s="1"/>
  <c r="S46" i="1"/>
  <c r="T46" i="1" s="1"/>
  <c r="U46" i="1" s="1"/>
  <c r="S205" i="1"/>
  <c r="T205" i="1" s="1"/>
  <c r="U205" i="1" s="1"/>
  <c r="S66" i="1"/>
  <c r="T66" i="1" s="1"/>
  <c r="U66" i="1" s="1"/>
  <c r="S477" i="1"/>
  <c r="T477" i="1" s="1"/>
  <c r="U477" i="1" s="1"/>
  <c r="S494" i="1"/>
  <c r="T494" i="1" s="1"/>
  <c r="U494" i="1" s="1"/>
  <c r="S72" i="1"/>
  <c r="T72" i="1" s="1"/>
  <c r="U72" i="1" s="1"/>
  <c r="S256" i="1"/>
  <c r="T256" i="1" s="1"/>
  <c r="U256" i="1" s="1"/>
  <c r="S325" i="1"/>
  <c r="T325" i="1" s="1"/>
  <c r="U325" i="1" s="1"/>
  <c r="S104" i="1"/>
  <c r="T104" i="1" s="1"/>
  <c r="U104" i="1" s="1"/>
  <c r="S222" i="1"/>
  <c r="T222" i="1" s="1"/>
  <c r="U222" i="1" s="1"/>
  <c r="Y488" i="1" l="1"/>
  <c r="Y133" i="1"/>
  <c r="Y91" i="1"/>
  <c r="Y23" i="1"/>
  <c r="Y169" i="1"/>
  <c r="Y393" i="1"/>
  <c r="Y194" i="1"/>
  <c r="Y352" i="1"/>
  <c r="Y235" i="1"/>
  <c r="Y173" i="1"/>
  <c r="Y226" i="1"/>
  <c r="Y418" i="1"/>
  <c r="Y331" i="1"/>
  <c r="Y335" i="1"/>
  <c r="Y101" i="1"/>
  <c r="Y140" i="1"/>
  <c r="Y13" i="1"/>
  <c r="Y238" i="1"/>
  <c r="Y416" i="1"/>
  <c r="Y116" i="1"/>
  <c r="Y4" i="1"/>
  <c r="Y370" i="1"/>
  <c r="Y425" i="1"/>
  <c r="Y348" i="1"/>
  <c r="Y166" i="1"/>
  <c r="Y201" i="1"/>
  <c r="Y499" i="1"/>
  <c r="Y225" i="1"/>
  <c r="Y347" i="1"/>
  <c r="Y217" i="1"/>
  <c r="Y234" i="1"/>
  <c r="Y20" i="1"/>
  <c r="Y3" i="1"/>
  <c r="Y405" i="1"/>
  <c r="Y386" i="1"/>
  <c r="Y75" i="1"/>
  <c r="Y125" i="1"/>
  <c r="Y250" i="1"/>
  <c r="Y400" i="1"/>
  <c r="Y421" i="1"/>
  <c r="Y435" i="1"/>
  <c r="Y394" i="1"/>
  <c r="Y417" i="1"/>
  <c r="Y111" i="1"/>
  <c r="Y373" i="1"/>
  <c r="Y430" i="1"/>
  <c r="Y456" i="1"/>
  <c r="Y468" i="1"/>
  <c r="Y420" i="1"/>
  <c r="Y314" i="1"/>
  <c r="Y325" i="1"/>
  <c r="Y29" i="1"/>
  <c r="Y123" i="1"/>
  <c r="Y357" i="1"/>
  <c r="Y99" i="1"/>
  <c r="Y185" i="1"/>
  <c r="Y233" i="1"/>
  <c r="Y174" i="1"/>
  <c r="Y112" i="1"/>
  <c r="Y141" i="1"/>
  <c r="Y444" i="1"/>
  <c r="Y281" i="1"/>
  <c r="Y62" i="1"/>
  <c r="Y414" i="1"/>
  <c r="Y28" i="1"/>
  <c r="Y181" i="1"/>
  <c r="Y227" i="1"/>
  <c r="Y298" i="1"/>
  <c r="Y406" i="1"/>
  <c r="Y95" i="1"/>
  <c r="Y280" i="1"/>
  <c r="Y272" i="1"/>
  <c r="Y498" i="1"/>
  <c r="Y341" i="1"/>
  <c r="Y33" i="1"/>
  <c r="Y490" i="1"/>
  <c r="Y472" i="1"/>
  <c r="Y274" i="1"/>
  <c r="Y132" i="1"/>
  <c r="Y158" i="1"/>
  <c r="Y72" i="1"/>
  <c r="Y82" i="1"/>
  <c r="Y376" i="1"/>
  <c r="Y57" i="1"/>
  <c r="Y399" i="1"/>
  <c r="Y245" i="1"/>
  <c r="Y224" i="1"/>
  <c r="Y392" i="1"/>
  <c r="Y350" i="1"/>
  <c r="Y63" i="1"/>
  <c r="Y432" i="1"/>
  <c r="Y332" i="1"/>
  <c r="Y424" i="1"/>
  <c r="Y277" i="1"/>
  <c r="Y404" i="1"/>
  <c r="Y351" i="1"/>
  <c r="Y228" i="1"/>
  <c r="Y353" i="1"/>
  <c r="Y152" i="1"/>
  <c r="Y367" i="1"/>
  <c r="Y90" i="1"/>
  <c r="Y284" i="1"/>
  <c r="Y383" i="1"/>
  <c r="Y27" i="1"/>
  <c r="Y188" i="1"/>
  <c r="Y384" i="1"/>
  <c r="Y74" i="1"/>
  <c r="Y160" i="1"/>
  <c r="Y337" i="1"/>
  <c r="Y380" i="1"/>
  <c r="Y100" i="1"/>
  <c r="Y80" i="1"/>
  <c r="Y128" i="1"/>
  <c r="Y309" i="1"/>
  <c r="Y402" i="1"/>
  <c r="Y307" i="1"/>
  <c r="Y459" i="1"/>
  <c r="Y39" i="1"/>
  <c r="Y127" i="1"/>
  <c r="Y448" i="1"/>
  <c r="Y273" i="1"/>
  <c r="Y148" i="1"/>
  <c r="Y216" i="1"/>
  <c r="Y301" i="1"/>
  <c r="Y38" i="1"/>
  <c r="Y236" i="1"/>
  <c r="Y50" i="1"/>
  <c r="Y10" i="1"/>
  <c r="Y208" i="1"/>
  <c r="Y6" i="1"/>
  <c r="Y139" i="1"/>
  <c r="Y344" i="1"/>
  <c r="Y122" i="1"/>
  <c r="Y452" i="1"/>
  <c r="Y440" i="1"/>
  <c r="Y467" i="1"/>
  <c r="Y85" i="1"/>
  <c r="Y304" i="1"/>
  <c r="Y334" i="1"/>
  <c r="Y265" i="1"/>
  <c r="Y253" i="1"/>
  <c r="Y126" i="1"/>
  <c r="Y120" i="1"/>
  <c r="Y145" i="1"/>
  <c r="Y327" i="1"/>
  <c r="Y299" i="1"/>
  <c r="Y143" i="1"/>
  <c r="Y336" i="1"/>
  <c r="Y157" i="1"/>
  <c r="Y300" i="1"/>
  <c r="Y249" i="1"/>
  <c r="Y105" i="1"/>
  <c r="Y130" i="1"/>
  <c r="Y439" i="1"/>
  <c r="Y84" i="1"/>
  <c r="Y67" i="1"/>
  <c r="Y232" i="1"/>
  <c r="Y239" i="1"/>
  <c r="Y458" i="1"/>
  <c r="Y12" i="1"/>
  <c r="Y131" i="1"/>
  <c r="Y189" i="1"/>
  <c r="Y241" i="1"/>
  <c r="Y282" i="1"/>
  <c r="Y318" i="1"/>
  <c r="Y354" i="1"/>
  <c r="Y390" i="1"/>
  <c r="Y426" i="1"/>
  <c r="Y462" i="1"/>
  <c r="Y17" i="1"/>
  <c r="Y77" i="1"/>
  <c r="Y134" i="1"/>
  <c r="Y192" i="1"/>
  <c r="Y244" i="1"/>
  <c r="Y326" i="1"/>
  <c r="Y362" i="1"/>
  <c r="Y398" i="1"/>
  <c r="Y470" i="1"/>
  <c r="Y19" i="1"/>
  <c r="Y193" i="1"/>
  <c r="Y291" i="1"/>
  <c r="Y471" i="1"/>
  <c r="Y87" i="1"/>
  <c r="Y202" i="1"/>
  <c r="Y254" i="1"/>
  <c r="Y293" i="1"/>
  <c r="Y329" i="1"/>
  <c r="Y365" i="1"/>
  <c r="Y401" i="1"/>
  <c r="Y437" i="1"/>
  <c r="Y149" i="1"/>
  <c r="Y366" i="1"/>
  <c r="Y438" i="1"/>
  <c r="Y474" i="1"/>
  <c r="Y34" i="1"/>
  <c r="Y151" i="1"/>
  <c r="Y206" i="1"/>
  <c r="Y258" i="1"/>
  <c r="Y338" i="1"/>
  <c r="Y11" i="1"/>
  <c r="Y491" i="1"/>
  <c r="Y396" i="1"/>
  <c r="Y268" i="1"/>
  <c r="Y147" i="1"/>
  <c r="Y182" i="1"/>
  <c r="Y156" i="1"/>
  <c r="Y251" i="1"/>
  <c r="Y109" i="1"/>
  <c r="Y64" i="1"/>
  <c r="Y213" i="1"/>
  <c r="Y484" i="1"/>
  <c r="Y495" i="1"/>
  <c r="Y389" i="1"/>
  <c r="Y48" i="1"/>
  <c r="Y117" i="1"/>
  <c r="Y187" i="1"/>
  <c r="Y252" i="1"/>
  <c r="Y210" i="1"/>
  <c r="Y475" i="1"/>
  <c r="Y410" i="1"/>
  <c r="Y199" i="1"/>
  <c r="Y146" i="1"/>
  <c r="Y108" i="1"/>
  <c r="Y54" i="1"/>
  <c r="Y8" i="1"/>
  <c r="Y88" i="1"/>
  <c r="Y138" i="1"/>
  <c r="Y212" i="1"/>
  <c r="Y321" i="1"/>
  <c r="Y36" i="1"/>
  <c r="Y114" i="1"/>
  <c r="Y324" i="1"/>
  <c r="Y259" i="1"/>
  <c r="Y2" i="1"/>
  <c r="Z2" i="1" s="1"/>
  <c r="Y110" i="1"/>
  <c r="Y355" i="1"/>
  <c r="Y477" i="1"/>
  <c r="Y246" i="1"/>
  <c r="Y7" i="1"/>
  <c r="Y267" i="1"/>
  <c r="Y311" i="1"/>
  <c r="Y466" i="1"/>
  <c r="Y276" i="1"/>
  <c r="Y264" i="1"/>
  <c r="Y52" i="1"/>
  <c r="Y178" i="1"/>
  <c r="Y302" i="1"/>
  <c r="Y305" i="1"/>
  <c r="Y377" i="1"/>
  <c r="Y374" i="1"/>
  <c r="Y296" i="1"/>
  <c r="Y497" i="1"/>
  <c r="Y37" i="1"/>
  <c r="Y261" i="1"/>
  <c r="Y24" i="1"/>
  <c r="Y476" i="1"/>
  <c r="Y310" i="1"/>
  <c r="Y487" i="1"/>
  <c r="Y198" i="1"/>
  <c r="Y168" i="1"/>
  <c r="Y428" i="1"/>
  <c r="Y56" i="1"/>
  <c r="Y167" i="1"/>
  <c r="Y454" i="1"/>
  <c r="Y346" i="1"/>
  <c r="Y98" i="1"/>
  <c r="Y58" i="1"/>
  <c r="Y119" i="1"/>
  <c r="Y14" i="1"/>
  <c r="Y115" i="1"/>
  <c r="Y397" i="1"/>
  <c r="Y118" i="1"/>
  <c r="Y443" i="1"/>
  <c r="Y429" i="1"/>
  <c r="Y283" i="1"/>
  <c r="Y262" i="1"/>
  <c r="Y137" i="1"/>
  <c r="Y295" i="1"/>
  <c r="Y222" i="1"/>
  <c r="Y256" i="1"/>
  <c r="Y21" i="1"/>
  <c r="Y442" i="1"/>
  <c r="Y60" i="1"/>
  <c r="Y289" i="1"/>
  <c r="Y35" i="1"/>
  <c r="Y5" i="1"/>
  <c r="Y231" i="1"/>
  <c r="Y15" i="1"/>
  <c r="Y316" i="1"/>
  <c r="Y107" i="1"/>
  <c r="Y422" i="1"/>
  <c r="Y308" i="1"/>
  <c r="Y279" i="1"/>
  <c r="Y494" i="1"/>
  <c r="Y408" i="1"/>
  <c r="Y290" i="1"/>
  <c r="Y315" i="1"/>
  <c r="Y93" i="1"/>
  <c r="Y78" i="1"/>
  <c r="Y229" i="1"/>
  <c r="Y221" i="1"/>
  <c r="Y388" i="1"/>
  <c r="Y165" i="1"/>
  <c r="Y292" i="1"/>
  <c r="Y303" i="1"/>
  <c r="Y449" i="1"/>
  <c r="Y415" i="1"/>
  <c r="Y363" i="1"/>
  <c r="Y135" i="1"/>
  <c r="Y40" i="1"/>
  <c r="Y482" i="1"/>
  <c r="Y385" i="1"/>
  <c r="Y255" i="1"/>
  <c r="Y269" i="1"/>
  <c r="Y288" i="1"/>
  <c r="Y328" i="1"/>
  <c r="Y382" i="1"/>
  <c r="Y113" i="1"/>
  <c r="Y372" i="1"/>
  <c r="Y190" i="1"/>
  <c r="Y242" i="1"/>
  <c r="Y356" i="1"/>
  <c r="Y478" i="1"/>
  <c r="Y197" i="1"/>
  <c r="Y162" i="1"/>
  <c r="Y41" i="1"/>
  <c r="Y180" i="1"/>
  <c r="Y297" i="1"/>
  <c r="Y364" i="1"/>
  <c r="Y183" i="1"/>
  <c r="Y211" i="1"/>
  <c r="Y191" i="1"/>
  <c r="Y349" i="1"/>
  <c r="Y47" i="1"/>
  <c r="Y492" i="1"/>
  <c r="Y163" i="1"/>
  <c r="Y409" i="1"/>
  <c r="Y26" i="1"/>
  <c r="Y345" i="1"/>
  <c r="Y9" i="1"/>
  <c r="Y361" i="1"/>
  <c r="Y196" i="1"/>
  <c r="Y493" i="1"/>
  <c r="Y129" i="1"/>
  <c r="Y161" i="1"/>
  <c r="Y436" i="1"/>
  <c r="Y209" i="1"/>
  <c r="Y271" i="1"/>
  <c r="Y18" i="1"/>
  <c r="Y106" i="1"/>
  <c r="Y53" i="1"/>
  <c r="Y451" i="1"/>
  <c r="Y223" i="1"/>
  <c r="Y434" i="1"/>
  <c r="Y317" i="1"/>
  <c r="Y342" i="1"/>
  <c r="Y381" i="1"/>
  <c r="Y86" i="1"/>
  <c r="Y104" i="1"/>
  <c r="Y59" i="1"/>
  <c r="Y200" i="1"/>
  <c r="Y164" i="1"/>
  <c r="Y469" i="1"/>
  <c r="Y42" i="1"/>
  <c r="Y464" i="1"/>
  <c r="Y391" i="1"/>
  <c r="Y453" i="1"/>
  <c r="Y465" i="1"/>
  <c r="Y214" i="1"/>
  <c r="Y176" i="1"/>
  <c r="Y44" i="1"/>
  <c r="Y31" i="1"/>
  <c r="Y343" i="1"/>
  <c r="Y172" i="1"/>
  <c r="Y195" i="1"/>
  <c r="Y320" i="1"/>
  <c r="Y275" i="1"/>
  <c r="Y16" i="1"/>
  <c r="Y142" i="1"/>
  <c r="Y32" i="1"/>
  <c r="Y368" i="1"/>
  <c r="Y83" i="1"/>
  <c r="Y287" i="1"/>
  <c r="Y102" i="1"/>
  <c r="Y153" i="1"/>
  <c r="Y89" i="1"/>
  <c r="Y360" i="1"/>
  <c r="Y270" i="1"/>
  <c r="Y378" i="1"/>
  <c r="Y215" i="1"/>
  <c r="Y45" i="1"/>
  <c r="Y103" i="1"/>
  <c r="Y450" i="1"/>
  <c r="Y257" i="1"/>
  <c r="Y66" i="1"/>
  <c r="Y375" i="1"/>
  <c r="Y25" i="1"/>
  <c r="Y411" i="1"/>
  <c r="Y179" i="1"/>
  <c r="Y323" i="1"/>
  <c r="Y203" i="1"/>
  <c r="Y501" i="1"/>
  <c r="Y460" i="1"/>
  <c r="Y171" i="1"/>
  <c r="Y71" i="1"/>
  <c r="Y431" i="1"/>
  <c r="Y260" i="1"/>
  <c r="Y485" i="1"/>
  <c r="Y286" i="1"/>
  <c r="Y447" i="1"/>
  <c r="Y461" i="1"/>
  <c r="Y486" i="1"/>
  <c r="Y339" i="1"/>
  <c r="Y413" i="1"/>
  <c r="Y205" i="1"/>
  <c r="Y403" i="1"/>
  <c r="Y154" i="1"/>
  <c r="Y387" i="1"/>
  <c r="Y73" i="1"/>
  <c r="Y150" i="1"/>
  <c r="Y51" i="1"/>
  <c r="Y441" i="1"/>
  <c r="Y312" i="1"/>
  <c r="Y70" i="1"/>
  <c r="Y340" i="1"/>
  <c r="Y155" i="1"/>
  <c r="Y496" i="1"/>
  <c r="Y455" i="1"/>
  <c r="Y65" i="1"/>
  <c r="Y240" i="1"/>
  <c r="Y230" i="1"/>
  <c r="Y379" i="1"/>
  <c r="Y144" i="1"/>
  <c r="Y407" i="1"/>
  <c r="Y184" i="1"/>
  <c r="Y457" i="1"/>
  <c r="Y481" i="1"/>
  <c r="Y76" i="1"/>
  <c r="Y204" i="1"/>
  <c r="Y136" i="1"/>
  <c r="Y97" i="1"/>
  <c r="Y479" i="1"/>
  <c r="Y186" i="1"/>
  <c r="Y263" i="1"/>
  <c r="Y177" i="1"/>
  <c r="Y419" i="1"/>
  <c r="Y445" i="1"/>
  <c r="Y278" i="1"/>
  <c r="Y412" i="1"/>
  <c r="Y68" i="1"/>
  <c r="Y266" i="1"/>
  <c r="Y121" i="1"/>
  <c r="Y306" i="1"/>
  <c r="Y423" i="1"/>
  <c r="Y46" i="1"/>
  <c r="Y219" i="1"/>
  <c r="Y446" i="1"/>
  <c r="Y175" i="1"/>
  <c r="Y489" i="1"/>
  <c r="Y159" i="1"/>
  <c r="Y207" i="1"/>
  <c r="Y61" i="1"/>
  <c r="Y55" i="1"/>
  <c r="Y358" i="1"/>
  <c r="Y248" i="1"/>
  <c r="Y319" i="1"/>
  <c r="Y170" i="1"/>
  <c r="Y480" i="1"/>
  <c r="Y96" i="1"/>
  <c r="Y247" i="1"/>
  <c r="Y313" i="1"/>
  <c r="Y359" i="1"/>
  <c r="Y237" i="1"/>
  <c r="Y333" i="1"/>
  <c r="Y395" i="1"/>
  <c r="Y500" i="1"/>
  <c r="Y43" i="1"/>
  <c r="Y220" i="1"/>
  <c r="Y371" i="1"/>
  <c r="Y463" i="1"/>
  <c r="Y427" i="1"/>
  <c r="Y22" i="1"/>
  <c r="Y433" i="1"/>
  <c r="Y322" i="1"/>
  <c r="Y243" i="1"/>
  <c r="Y218" i="1"/>
  <c r="Y483" i="1"/>
  <c r="Y30" i="1"/>
  <c r="Y285" i="1"/>
  <c r="Y69" i="1"/>
  <c r="Y473" i="1"/>
  <c r="Y369" i="1"/>
  <c r="Y330" i="1"/>
  <c r="Y79" i="1"/>
  <c r="Y294" i="1"/>
  <c r="Y81" i="1"/>
  <c r="Y92" i="1"/>
  <c r="Y94" i="1"/>
  <c r="AA2" i="1" l="1"/>
  <c r="AC2" i="1" s="1"/>
  <c r="Z3" i="1"/>
  <c r="AH2" i="1" l="1"/>
  <c r="AG2" i="1"/>
  <c r="Z4" i="1"/>
  <c r="AA3" i="1"/>
  <c r="AC3" i="1" s="1"/>
  <c r="AF2" i="1"/>
  <c r="AD2" i="1"/>
  <c r="AE2" i="1"/>
  <c r="AH3" i="1" l="1"/>
  <c r="AG3" i="1"/>
  <c r="AE3" i="1"/>
  <c r="AF3" i="1"/>
  <c r="AD3" i="1"/>
  <c r="Z5" i="1"/>
  <c r="AA4" i="1"/>
  <c r="AC4" i="1" s="1"/>
  <c r="AH4" i="1" l="1"/>
  <c r="AG4" i="1"/>
  <c r="AE4" i="1"/>
  <c r="AF4" i="1"/>
  <c r="AD4" i="1"/>
  <c r="Z6" i="1"/>
  <c r="AA5" i="1"/>
  <c r="AC5" i="1" s="1"/>
  <c r="AH5" i="1" l="1"/>
  <c r="AG5" i="1"/>
  <c r="AF5" i="1"/>
  <c r="AE5" i="1"/>
  <c r="AD5" i="1"/>
  <c r="Z7" i="1"/>
  <c r="AA6" i="1"/>
  <c r="AC6" i="1" s="1"/>
  <c r="AH6" i="1" l="1"/>
  <c r="AG6" i="1"/>
  <c r="AF6" i="1"/>
  <c r="AE6" i="1"/>
  <c r="AD6" i="1"/>
  <c r="Z8" i="1"/>
  <c r="AA7" i="1"/>
  <c r="AC7" i="1" s="1"/>
  <c r="AH7" i="1" l="1"/>
  <c r="AG7" i="1"/>
  <c r="AF7" i="1"/>
  <c r="AE7" i="1"/>
  <c r="AD7" i="1"/>
  <c r="Z9" i="1"/>
  <c r="AA8" i="1"/>
  <c r="AC8" i="1" s="1"/>
  <c r="AH8" i="1" l="1"/>
  <c r="AG8" i="1"/>
  <c r="AA9" i="1"/>
  <c r="AC9" i="1" s="1"/>
  <c r="Z10" i="1"/>
  <c r="AF8" i="1"/>
  <c r="AD8" i="1"/>
  <c r="AE8" i="1"/>
  <c r="AH9" i="1" l="1"/>
  <c r="AG9" i="1"/>
  <c r="AF9" i="1"/>
  <c r="AE9" i="1"/>
  <c r="AD9" i="1"/>
  <c r="Z11" i="1"/>
  <c r="AA10" i="1"/>
  <c r="AC10" i="1" s="1"/>
  <c r="AH10" i="1" l="1"/>
  <c r="AG10" i="1"/>
  <c r="AF10" i="1"/>
  <c r="AD10" i="1"/>
  <c r="AE10" i="1"/>
  <c r="Z12" i="1"/>
  <c r="AA11" i="1"/>
  <c r="AC11" i="1" s="1"/>
  <c r="AH11" i="1" l="1"/>
  <c r="AG11" i="1"/>
  <c r="AF11" i="1"/>
  <c r="AE11" i="1"/>
  <c r="AD11" i="1"/>
  <c r="Z13" i="1"/>
  <c r="AA12" i="1"/>
  <c r="AC12" i="1" s="1"/>
  <c r="AH12" i="1" l="1"/>
  <c r="AG12" i="1"/>
  <c r="AF12" i="1"/>
  <c r="AD12" i="1"/>
  <c r="AE12" i="1"/>
  <c r="Z14" i="1"/>
  <c r="AA13" i="1"/>
  <c r="AC13" i="1" s="1"/>
  <c r="AH13" i="1" l="1"/>
  <c r="AG13" i="1"/>
  <c r="AE13" i="1"/>
  <c r="AD13" i="1"/>
  <c r="AF13" i="1"/>
  <c r="Z15" i="1"/>
  <c r="AA14" i="1"/>
  <c r="AC14" i="1" s="1"/>
  <c r="AH14" i="1" l="1"/>
  <c r="AG14" i="1"/>
  <c r="Z16" i="1"/>
  <c r="AA15" i="1"/>
  <c r="AC15" i="1" s="1"/>
  <c r="AE14" i="1"/>
  <c r="AF14" i="1"/>
  <c r="AD14" i="1"/>
  <c r="AH15" i="1" l="1"/>
  <c r="AG15" i="1"/>
  <c r="Z17" i="1"/>
  <c r="AA16" i="1"/>
  <c r="AC16" i="1" s="1"/>
  <c r="AF15" i="1"/>
  <c r="AD15" i="1"/>
  <c r="AE15" i="1"/>
  <c r="AH16" i="1" l="1"/>
  <c r="AG16" i="1"/>
  <c r="AE16" i="1"/>
  <c r="AF16" i="1"/>
  <c r="AD16" i="1"/>
  <c r="Z18" i="1"/>
  <c r="AA17" i="1"/>
  <c r="AC17" i="1" s="1"/>
  <c r="AH17" i="1" l="1"/>
  <c r="AG17" i="1"/>
  <c r="AF17" i="1"/>
  <c r="AE17" i="1"/>
  <c r="AD17" i="1"/>
  <c r="Z19" i="1"/>
  <c r="AA18" i="1"/>
  <c r="AC18" i="1" s="1"/>
  <c r="AH18" i="1" l="1"/>
  <c r="AG18" i="1"/>
  <c r="Z20" i="1"/>
  <c r="AA19" i="1"/>
  <c r="AC19" i="1" s="1"/>
  <c r="AF18" i="1"/>
  <c r="AE18" i="1"/>
  <c r="AD18" i="1"/>
  <c r="AH19" i="1" l="1"/>
  <c r="AG19" i="1"/>
  <c r="AF19" i="1"/>
  <c r="AE19" i="1"/>
  <c r="AD19" i="1"/>
  <c r="Z21" i="1"/>
  <c r="AA20" i="1"/>
  <c r="AC20" i="1" s="1"/>
  <c r="AH20" i="1" l="1"/>
  <c r="AG20" i="1"/>
  <c r="AF20" i="1"/>
  <c r="AE20" i="1"/>
  <c r="AD20" i="1"/>
  <c r="Z22" i="1"/>
  <c r="AA21" i="1"/>
  <c r="AC21" i="1" s="1"/>
  <c r="AH21" i="1" l="1"/>
  <c r="AG21" i="1"/>
  <c r="Z23" i="1"/>
  <c r="AA22" i="1"/>
  <c r="AC22" i="1" s="1"/>
  <c r="AF21" i="1"/>
  <c r="AE21" i="1"/>
  <c r="AD21" i="1"/>
  <c r="AH22" i="1" l="1"/>
  <c r="AG22" i="1"/>
  <c r="Z24" i="1"/>
  <c r="AA23" i="1"/>
  <c r="AC23" i="1" s="1"/>
  <c r="AF22" i="1"/>
  <c r="AE22" i="1"/>
  <c r="AD22" i="1"/>
  <c r="AH23" i="1" l="1"/>
  <c r="AG23" i="1"/>
  <c r="AD23" i="1"/>
  <c r="AF23" i="1"/>
  <c r="AE23" i="1"/>
  <c r="Z25" i="1"/>
  <c r="AA24" i="1"/>
  <c r="AC24" i="1" s="1"/>
  <c r="AH24" i="1" l="1"/>
  <c r="AG24" i="1"/>
  <c r="AF24" i="1"/>
  <c r="AD24" i="1"/>
  <c r="AE24" i="1"/>
  <c r="Z26" i="1"/>
  <c r="AA25" i="1"/>
  <c r="AC25" i="1" s="1"/>
  <c r="AH25" i="1" l="1"/>
  <c r="AG25" i="1"/>
  <c r="AD25" i="1"/>
  <c r="AF25" i="1"/>
  <c r="AE25" i="1"/>
  <c r="Z27" i="1"/>
  <c r="AA26" i="1"/>
  <c r="AC26" i="1" s="1"/>
  <c r="AH26" i="1" l="1"/>
  <c r="AG26" i="1"/>
  <c r="AD26" i="1"/>
  <c r="AF26" i="1"/>
  <c r="AE26" i="1"/>
  <c r="Z28" i="1"/>
  <c r="AA27" i="1"/>
  <c r="AC27" i="1" s="1"/>
  <c r="AH27" i="1" l="1"/>
  <c r="AG27" i="1"/>
  <c r="AF27" i="1"/>
  <c r="AD27" i="1"/>
  <c r="AE27" i="1"/>
  <c r="Z29" i="1"/>
  <c r="AA28" i="1"/>
  <c r="AC28" i="1" s="1"/>
  <c r="AH28" i="1" l="1"/>
  <c r="AG28" i="1"/>
  <c r="AF28" i="1"/>
  <c r="AE28" i="1"/>
  <c r="AD28" i="1"/>
  <c r="Z30" i="1"/>
  <c r="AA29" i="1"/>
  <c r="AC29" i="1" s="1"/>
  <c r="AH29" i="1" l="1"/>
  <c r="AG29" i="1"/>
  <c r="Z31" i="1"/>
  <c r="AA30" i="1"/>
  <c r="AC30" i="1" s="1"/>
  <c r="AF29" i="1"/>
  <c r="AE29" i="1"/>
  <c r="AD29" i="1"/>
  <c r="AH30" i="1" l="1"/>
  <c r="AG30" i="1"/>
  <c r="AF30" i="1"/>
  <c r="AE30" i="1"/>
  <c r="AD30" i="1"/>
  <c r="Z32" i="1"/>
  <c r="AA31" i="1"/>
  <c r="AC31" i="1" s="1"/>
  <c r="AH31" i="1" l="1"/>
  <c r="AG31" i="1"/>
  <c r="Z33" i="1"/>
  <c r="AA32" i="1"/>
  <c r="AC32" i="1" s="1"/>
  <c r="AF31" i="1"/>
  <c r="AE31" i="1"/>
  <c r="AD31" i="1"/>
  <c r="AH32" i="1" l="1"/>
  <c r="AG32" i="1"/>
  <c r="AF32" i="1"/>
  <c r="AE32" i="1"/>
  <c r="AD32" i="1"/>
  <c r="Z34" i="1"/>
  <c r="AA33" i="1"/>
  <c r="AC33" i="1" s="1"/>
  <c r="AH33" i="1" l="1"/>
  <c r="AG33" i="1"/>
  <c r="AF33" i="1"/>
  <c r="AE33" i="1"/>
  <c r="AD33" i="1"/>
  <c r="Z35" i="1"/>
  <c r="AA34" i="1"/>
  <c r="AC34" i="1" s="1"/>
  <c r="AH34" i="1" l="1"/>
  <c r="AG34" i="1"/>
  <c r="Z36" i="1"/>
  <c r="AA35" i="1"/>
  <c r="AC35" i="1" s="1"/>
  <c r="AF34" i="1"/>
  <c r="AE34" i="1"/>
  <c r="AD34" i="1"/>
  <c r="AH35" i="1" l="1"/>
  <c r="AG35" i="1"/>
  <c r="AF35" i="1"/>
  <c r="AE35" i="1"/>
  <c r="AD35" i="1"/>
  <c r="Z37" i="1"/>
  <c r="AA36" i="1"/>
  <c r="AC36" i="1" s="1"/>
  <c r="AH36" i="1" l="1"/>
  <c r="AG36" i="1"/>
  <c r="AF36" i="1"/>
  <c r="AD36" i="1"/>
  <c r="AE36" i="1"/>
  <c r="Z38" i="1"/>
  <c r="AA37" i="1"/>
  <c r="AC37" i="1" s="1"/>
  <c r="AH37" i="1" l="1"/>
  <c r="AG37" i="1"/>
  <c r="AF37" i="1"/>
  <c r="AE37" i="1"/>
  <c r="AD37" i="1"/>
  <c r="Z39" i="1"/>
  <c r="AA38" i="1"/>
  <c r="AC38" i="1" s="1"/>
  <c r="AH38" i="1" l="1"/>
  <c r="AG38" i="1"/>
  <c r="AF38" i="1"/>
  <c r="AD38" i="1"/>
  <c r="AE38" i="1"/>
  <c r="Z40" i="1"/>
  <c r="AA39" i="1"/>
  <c r="AC39" i="1" s="1"/>
  <c r="AH39" i="1" l="1"/>
  <c r="AG39" i="1"/>
  <c r="AF39" i="1"/>
  <c r="AD39" i="1"/>
  <c r="AE39" i="1"/>
  <c r="Z41" i="1"/>
  <c r="AA40" i="1"/>
  <c r="AC40" i="1" s="1"/>
  <c r="AH40" i="1" l="1"/>
  <c r="AG40" i="1"/>
  <c r="AF40" i="1"/>
  <c r="AD40" i="1"/>
  <c r="AE40" i="1"/>
  <c r="Z42" i="1"/>
  <c r="AA41" i="1"/>
  <c r="AC41" i="1" s="1"/>
  <c r="AH41" i="1" l="1"/>
  <c r="AG41" i="1"/>
  <c r="AF41" i="1"/>
  <c r="AD41" i="1"/>
  <c r="AE41" i="1"/>
  <c r="Z43" i="1"/>
  <c r="AA42" i="1"/>
  <c r="AC42" i="1" s="1"/>
  <c r="AH42" i="1" l="1"/>
  <c r="AG42" i="1"/>
  <c r="AF42" i="1"/>
  <c r="AD42" i="1"/>
  <c r="AE42" i="1"/>
  <c r="Z44" i="1"/>
  <c r="AA43" i="1"/>
  <c r="AC43" i="1" s="1"/>
  <c r="AH43" i="1" l="1"/>
  <c r="AG43" i="1"/>
  <c r="AF43" i="1"/>
  <c r="AE43" i="1"/>
  <c r="AD43" i="1"/>
  <c r="Z45" i="1"/>
  <c r="AA44" i="1"/>
  <c r="AC44" i="1" s="1"/>
  <c r="AH44" i="1" l="1"/>
  <c r="AG44" i="1"/>
  <c r="AF44" i="1"/>
  <c r="AE44" i="1"/>
  <c r="AD44" i="1"/>
  <c r="Z46" i="1"/>
  <c r="AA45" i="1"/>
  <c r="AC45" i="1" s="1"/>
  <c r="AH45" i="1" l="1"/>
  <c r="AG45" i="1"/>
  <c r="AF45" i="1"/>
  <c r="AE45" i="1"/>
  <c r="AD45" i="1"/>
  <c r="Z47" i="1"/>
  <c r="AA46" i="1"/>
  <c r="AC46" i="1" s="1"/>
  <c r="AH46" i="1" l="1"/>
  <c r="AG46" i="1"/>
  <c r="AF46" i="1"/>
  <c r="AE46" i="1"/>
  <c r="AD46" i="1"/>
  <c r="Z48" i="1"/>
  <c r="AA47" i="1"/>
  <c r="AC47" i="1" s="1"/>
  <c r="AH47" i="1" l="1"/>
  <c r="AG47" i="1"/>
  <c r="AF47" i="1"/>
  <c r="AE47" i="1"/>
  <c r="AD47" i="1"/>
  <c r="Z49" i="1"/>
  <c r="AA48" i="1"/>
  <c r="AC48" i="1" s="1"/>
  <c r="AH48" i="1" l="1"/>
  <c r="AG48" i="1"/>
  <c r="AF48" i="1"/>
  <c r="AD48" i="1"/>
  <c r="AE48" i="1"/>
  <c r="Z50" i="1"/>
  <c r="AA49" i="1"/>
  <c r="AC49" i="1" s="1"/>
  <c r="AH49" i="1" l="1"/>
  <c r="AG49" i="1"/>
  <c r="AE49" i="1"/>
  <c r="AD49" i="1"/>
  <c r="AF49" i="1"/>
  <c r="Z51" i="1"/>
  <c r="AA50" i="1"/>
  <c r="AC50" i="1" s="1"/>
  <c r="AH50" i="1" l="1"/>
  <c r="AG50" i="1"/>
  <c r="AE50" i="1"/>
  <c r="AF50" i="1"/>
  <c r="AD50" i="1"/>
  <c r="Z52" i="1"/>
  <c r="AA51" i="1"/>
  <c r="AC51" i="1" s="1"/>
  <c r="AH51" i="1" l="1"/>
  <c r="AG51" i="1"/>
  <c r="AF51" i="1"/>
  <c r="AD51" i="1"/>
  <c r="AE51" i="1"/>
  <c r="Z53" i="1"/>
  <c r="AA52" i="1"/>
  <c r="AC52" i="1" s="1"/>
  <c r="AH52" i="1" l="1"/>
  <c r="AG52" i="1"/>
  <c r="AF52" i="1"/>
  <c r="AD52" i="1"/>
  <c r="AE52" i="1"/>
  <c r="Z54" i="1"/>
  <c r="AA53" i="1"/>
  <c r="AC53" i="1" s="1"/>
  <c r="AH53" i="1" l="1"/>
  <c r="AG53" i="1"/>
  <c r="AF53" i="1"/>
  <c r="AE53" i="1"/>
  <c r="AD53" i="1"/>
  <c r="Z55" i="1"/>
  <c r="AA54" i="1"/>
  <c r="AC54" i="1" s="1"/>
  <c r="AH54" i="1" l="1"/>
  <c r="AG54" i="1"/>
  <c r="AF54" i="1"/>
  <c r="AE54" i="1"/>
  <c r="AD54" i="1"/>
  <c r="Z56" i="1"/>
  <c r="AA55" i="1"/>
  <c r="AC55" i="1" s="1"/>
  <c r="AH55" i="1" l="1"/>
  <c r="AG55" i="1"/>
  <c r="AF55" i="1"/>
  <c r="AE55" i="1"/>
  <c r="AD55" i="1"/>
  <c r="Z57" i="1"/>
  <c r="AA56" i="1"/>
  <c r="AC56" i="1" s="1"/>
  <c r="AH56" i="1" l="1"/>
  <c r="AG56" i="1"/>
  <c r="AF56" i="1"/>
  <c r="AE56" i="1"/>
  <c r="AD56" i="1"/>
  <c r="Z58" i="1"/>
  <c r="AA57" i="1"/>
  <c r="AC57" i="1" s="1"/>
  <c r="AH57" i="1" l="1"/>
  <c r="AG57" i="1"/>
  <c r="AF57" i="1"/>
  <c r="AE57" i="1"/>
  <c r="AD57" i="1"/>
  <c r="Z59" i="1"/>
  <c r="AA58" i="1"/>
  <c r="AC58" i="1" s="1"/>
  <c r="AH58" i="1" l="1"/>
  <c r="AG58" i="1"/>
  <c r="AF58" i="1"/>
  <c r="AE58" i="1"/>
  <c r="AD58" i="1"/>
  <c r="Z60" i="1"/>
  <c r="AA59" i="1"/>
  <c r="AC59" i="1" s="1"/>
  <c r="AH59" i="1" l="1"/>
  <c r="AG59" i="1"/>
  <c r="AF59" i="1"/>
  <c r="AE59" i="1"/>
  <c r="AD59" i="1"/>
  <c r="Z61" i="1"/>
  <c r="AA60" i="1"/>
  <c r="AC60" i="1" s="1"/>
  <c r="AH60" i="1" l="1"/>
  <c r="AG60" i="1"/>
  <c r="AF60" i="1"/>
  <c r="AD60" i="1"/>
  <c r="AE60" i="1"/>
  <c r="Z62" i="1"/>
  <c r="AA61" i="1"/>
  <c r="AC61" i="1" s="1"/>
  <c r="AH61" i="1" l="1"/>
  <c r="AG61" i="1"/>
  <c r="AF61" i="1"/>
  <c r="AE61" i="1"/>
  <c r="AD61" i="1"/>
  <c r="Z63" i="1"/>
  <c r="AA62" i="1"/>
  <c r="AC62" i="1" s="1"/>
  <c r="AH62" i="1" l="1"/>
  <c r="AG62" i="1"/>
  <c r="AE62" i="1"/>
  <c r="AF62" i="1"/>
  <c r="AD62" i="1"/>
  <c r="Z64" i="1"/>
  <c r="AA63" i="1"/>
  <c r="AC63" i="1" s="1"/>
  <c r="AH63" i="1" l="1"/>
  <c r="AG63" i="1"/>
  <c r="AF63" i="1"/>
  <c r="AE63" i="1"/>
  <c r="AD63" i="1"/>
  <c r="Z65" i="1"/>
  <c r="AA64" i="1"/>
  <c r="AC64" i="1" s="1"/>
  <c r="AH64" i="1" l="1"/>
  <c r="AG64" i="1"/>
  <c r="AF64" i="1"/>
  <c r="AE64" i="1"/>
  <c r="AD64" i="1"/>
  <c r="Z66" i="1"/>
  <c r="AA65" i="1"/>
  <c r="AC65" i="1" s="1"/>
  <c r="AH65" i="1" l="1"/>
  <c r="AG65" i="1"/>
  <c r="AF65" i="1"/>
  <c r="AD65" i="1"/>
  <c r="AE65" i="1"/>
  <c r="Z67" i="1"/>
  <c r="AA66" i="1"/>
  <c r="AC66" i="1" s="1"/>
  <c r="AH66" i="1" l="1"/>
  <c r="AG66" i="1"/>
  <c r="AF66" i="1"/>
  <c r="AE66" i="1"/>
  <c r="AD66" i="1"/>
  <c r="Z68" i="1"/>
  <c r="AA67" i="1"/>
  <c r="AC67" i="1" s="1"/>
  <c r="AH67" i="1" l="1"/>
  <c r="AG67" i="1"/>
  <c r="Z69" i="1"/>
  <c r="AA68" i="1"/>
  <c r="AC68" i="1" s="1"/>
  <c r="AF67" i="1"/>
  <c r="AE67" i="1"/>
  <c r="AD67" i="1"/>
  <c r="AH68" i="1" l="1"/>
  <c r="AG68" i="1"/>
  <c r="AF68" i="1"/>
  <c r="AE68" i="1"/>
  <c r="AD68" i="1"/>
  <c r="Z70" i="1"/>
  <c r="AA69" i="1"/>
  <c r="AC69" i="1" s="1"/>
  <c r="AH69" i="1" l="1"/>
  <c r="AG69" i="1"/>
  <c r="AF69" i="1"/>
  <c r="AE69" i="1"/>
  <c r="AD69" i="1"/>
  <c r="Z71" i="1"/>
  <c r="AA70" i="1"/>
  <c r="AC70" i="1" s="1"/>
  <c r="AH70" i="1" l="1"/>
  <c r="AG70" i="1"/>
  <c r="AF70" i="1"/>
  <c r="AE70" i="1"/>
  <c r="AD70" i="1"/>
  <c r="Z72" i="1"/>
  <c r="AA71" i="1"/>
  <c r="AC71" i="1" s="1"/>
  <c r="AH71" i="1" l="1"/>
  <c r="AG71" i="1"/>
  <c r="AF71" i="1"/>
  <c r="AD71" i="1"/>
  <c r="AE71" i="1"/>
  <c r="Z73" i="1"/>
  <c r="AA72" i="1"/>
  <c r="AC72" i="1" s="1"/>
  <c r="AH72" i="1" l="1"/>
  <c r="AG72" i="1"/>
  <c r="AF72" i="1"/>
  <c r="AD72" i="1"/>
  <c r="AE72" i="1"/>
  <c r="Z74" i="1"/>
  <c r="AA73" i="1"/>
  <c r="AC73" i="1" s="1"/>
  <c r="AH73" i="1" l="1"/>
  <c r="AG73" i="1"/>
  <c r="AF73" i="1"/>
  <c r="AE73" i="1"/>
  <c r="AD73" i="1"/>
  <c r="Z75" i="1"/>
  <c r="AA74" i="1"/>
  <c r="AC74" i="1" s="1"/>
  <c r="AH74" i="1" l="1"/>
  <c r="AG74" i="1"/>
  <c r="AF74" i="1"/>
  <c r="AE74" i="1"/>
  <c r="AD74" i="1"/>
  <c r="Z76" i="1"/>
  <c r="AA75" i="1"/>
  <c r="AC75" i="1" s="1"/>
  <c r="AH75" i="1" l="1"/>
  <c r="AG75" i="1"/>
  <c r="Z77" i="1"/>
  <c r="AA76" i="1"/>
  <c r="AC76" i="1" s="1"/>
  <c r="AF75" i="1"/>
  <c r="AD75" i="1"/>
  <c r="AE75" i="1"/>
  <c r="AH76" i="1" l="1"/>
  <c r="AG76" i="1"/>
  <c r="AF76" i="1"/>
  <c r="AD76" i="1"/>
  <c r="AE76" i="1"/>
  <c r="Z78" i="1"/>
  <c r="AA77" i="1"/>
  <c r="AC77" i="1" s="1"/>
  <c r="AH77" i="1" l="1"/>
  <c r="AG77" i="1"/>
  <c r="Z79" i="1"/>
  <c r="AA78" i="1"/>
  <c r="AC78" i="1" s="1"/>
  <c r="AF77" i="1"/>
  <c r="AE77" i="1"/>
  <c r="AD77" i="1"/>
  <c r="AH78" i="1" l="1"/>
  <c r="AG78" i="1"/>
  <c r="AF78" i="1"/>
  <c r="AD78" i="1"/>
  <c r="AE78" i="1"/>
  <c r="Z80" i="1"/>
  <c r="AA79" i="1"/>
  <c r="AC79" i="1" s="1"/>
  <c r="AH79" i="1" l="1"/>
  <c r="AG79" i="1"/>
  <c r="Z81" i="1"/>
  <c r="AA80" i="1"/>
  <c r="AC80" i="1" s="1"/>
  <c r="AF79" i="1"/>
  <c r="AE79" i="1"/>
  <c r="AD79" i="1"/>
  <c r="AH80" i="1" l="1"/>
  <c r="AG80" i="1"/>
  <c r="AF80" i="1"/>
  <c r="AE80" i="1"/>
  <c r="AD80" i="1"/>
  <c r="Z82" i="1"/>
  <c r="AA81" i="1"/>
  <c r="AC81" i="1" s="1"/>
  <c r="AH81" i="1" l="1"/>
  <c r="AG81" i="1"/>
  <c r="Z83" i="1"/>
  <c r="AA82" i="1"/>
  <c r="AC82" i="1" s="1"/>
  <c r="AF81" i="1"/>
  <c r="AE81" i="1"/>
  <c r="AD81" i="1"/>
  <c r="AH82" i="1" l="1"/>
  <c r="AG82" i="1"/>
  <c r="AF82" i="1"/>
  <c r="AE82" i="1"/>
  <c r="AD82" i="1"/>
  <c r="Z84" i="1"/>
  <c r="AA83" i="1"/>
  <c r="AC83" i="1" s="1"/>
  <c r="AH83" i="1" l="1"/>
  <c r="AG83" i="1"/>
  <c r="AF83" i="1"/>
  <c r="AE83" i="1"/>
  <c r="AD83" i="1"/>
  <c r="Z85" i="1"/>
  <c r="AA84" i="1"/>
  <c r="AC84" i="1" s="1"/>
  <c r="AH84" i="1" l="1"/>
  <c r="AG84" i="1"/>
  <c r="AF84" i="1"/>
  <c r="AD84" i="1"/>
  <c r="AE84" i="1"/>
  <c r="Z86" i="1"/>
  <c r="AA85" i="1"/>
  <c r="AC85" i="1" s="1"/>
  <c r="AH85" i="1" l="1"/>
  <c r="AG85" i="1"/>
  <c r="AF85" i="1"/>
  <c r="AE85" i="1"/>
  <c r="AD85" i="1"/>
  <c r="Z87" i="1"/>
  <c r="AA86" i="1"/>
  <c r="AC86" i="1" s="1"/>
  <c r="AH86" i="1" l="1"/>
  <c r="AG86" i="1"/>
  <c r="AE86" i="1"/>
  <c r="AD86" i="1"/>
  <c r="AF86" i="1"/>
  <c r="Z88" i="1"/>
  <c r="AA87" i="1"/>
  <c r="AC87" i="1" s="1"/>
  <c r="AH87" i="1" l="1"/>
  <c r="AG87" i="1"/>
  <c r="AE87" i="1"/>
  <c r="AD87" i="1"/>
  <c r="AF87" i="1"/>
  <c r="Z89" i="1"/>
  <c r="AA88" i="1"/>
  <c r="AC88" i="1" s="1"/>
  <c r="AH88" i="1" l="1"/>
  <c r="AG88" i="1"/>
  <c r="Z90" i="1"/>
  <c r="AA89" i="1"/>
  <c r="AC89" i="1" s="1"/>
  <c r="AF88" i="1"/>
  <c r="AE88" i="1"/>
  <c r="AD88" i="1"/>
  <c r="AH89" i="1" l="1"/>
  <c r="AG89" i="1"/>
  <c r="AF89" i="1"/>
  <c r="AE89" i="1"/>
  <c r="AD89" i="1"/>
  <c r="Z91" i="1"/>
  <c r="AA90" i="1"/>
  <c r="AC90" i="1" s="1"/>
  <c r="AH90" i="1" l="1"/>
  <c r="AG90" i="1"/>
  <c r="AF90" i="1"/>
  <c r="AE90" i="1"/>
  <c r="AD90" i="1"/>
  <c r="Z92" i="1"/>
  <c r="AA91" i="1"/>
  <c r="AC91" i="1" s="1"/>
  <c r="AH91" i="1" l="1"/>
  <c r="AG91" i="1"/>
  <c r="AF91" i="1"/>
  <c r="AE91" i="1"/>
  <c r="AD91" i="1"/>
  <c r="Z93" i="1"/>
  <c r="AA92" i="1"/>
  <c r="AC92" i="1" s="1"/>
  <c r="AH92" i="1" l="1"/>
  <c r="AG92" i="1"/>
  <c r="AF92" i="1"/>
  <c r="AE92" i="1"/>
  <c r="AD92" i="1"/>
  <c r="Z94" i="1"/>
  <c r="AA93" i="1"/>
  <c r="AC93" i="1" s="1"/>
  <c r="AH93" i="1" l="1"/>
  <c r="AG93" i="1"/>
  <c r="AF93" i="1"/>
  <c r="AE93" i="1"/>
  <c r="AD93" i="1"/>
  <c r="Z95" i="1"/>
  <c r="AA94" i="1"/>
  <c r="AC94" i="1" s="1"/>
  <c r="AH94" i="1" l="1"/>
  <c r="AG94" i="1"/>
  <c r="AF94" i="1"/>
  <c r="AE94" i="1"/>
  <c r="AD94" i="1"/>
  <c r="Z96" i="1"/>
  <c r="AA95" i="1"/>
  <c r="AC95" i="1" s="1"/>
  <c r="AH95" i="1" l="1"/>
  <c r="AG95" i="1"/>
  <c r="AF95" i="1"/>
  <c r="AD95" i="1"/>
  <c r="AE95" i="1"/>
  <c r="Z97" i="1"/>
  <c r="AA96" i="1"/>
  <c r="AC96" i="1" s="1"/>
  <c r="AH96" i="1" l="1"/>
  <c r="AG96" i="1"/>
  <c r="Z98" i="1"/>
  <c r="AA97" i="1"/>
  <c r="AC97" i="1" s="1"/>
  <c r="AF96" i="1"/>
  <c r="AD96" i="1"/>
  <c r="AE96" i="1"/>
  <c r="AH97" i="1" l="1"/>
  <c r="AG97" i="1"/>
  <c r="AF97" i="1"/>
  <c r="AD97" i="1"/>
  <c r="AE97" i="1"/>
  <c r="Z99" i="1"/>
  <c r="AA98" i="1"/>
  <c r="AC98" i="1" s="1"/>
  <c r="AH98" i="1" l="1"/>
  <c r="AG98" i="1"/>
  <c r="Z100" i="1"/>
  <c r="AA99" i="1"/>
  <c r="AC99" i="1" s="1"/>
  <c r="AF98" i="1"/>
  <c r="AD98" i="1"/>
  <c r="AE98" i="1"/>
  <c r="AH99" i="1" l="1"/>
  <c r="AG99" i="1"/>
  <c r="AF99" i="1"/>
  <c r="AD99" i="1"/>
  <c r="AE99" i="1"/>
  <c r="Z101" i="1"/>
  <c r="AA100" i="1"/>
  <c r="AC100" i="1" s="1"/>
  <c r="AH100" i="1" l="1"/>
  <c r="AG100" i="1"/>
  <c r="AF100" i="1"/>
  <c r="AE100" i="1"/>
  <c r="AD100" i="1"/>
  <c r="Z102" i="1"/>
  <c r="AA101" i="1"/>
  <c r="AC101" i="1" s="1"/>
  <c r="AH101" i="1" l="1"/>
  <c r="AG101" i="1"/>
  <c r="AF101" i="1"/>
  <c r="AE101" i="1"/>
  <c r="AD101" i="1"/>
  <c r="Z103" i="1"/>
  <c r="AA102" i="1"/>
  <c r="AC102" i="1" s="1"/>
  <c r="AH102" i="1" l="1"/>
  <c r="AG102" i="1"/>
  <c r="AF102" i="1"/>
  <c r="AE102" i="1"/>
  <c r="AD102" i="1"/>
  <c r="Z104" i="1"/>
  <c r="AA103" i="1"/>
  <c r="AC103" i="1" s="1"/>
  <c r="AH103" i="1" l="1"/>
  <c r="AG103" i="1"/>
  <c r="AF103" i="1"/>
  <c r="AE103" i="1"/>
  <c r="AD103" i="1"/>
  <c r="Z105" i="1"/>
  <c r="AA104" i="1"/>
  <c r="AC104" i="1" s="1"/>
  <c r="AH104" i="1" l="1"/>
  <c r="AG104" i="1"/>
  <c r="AF104" i="1"/>
  <c r="AE104" i="1"/>
  <c r="AD104" i="1"/>
  <c r="Z106" i="1"/>
  <c r="AA105" i="1"/>
  <c r="AC105" i="1" s="1"/>
  <c r="AH105" i="1" l="1"/>
  <c r="AG105" i="1"/>
  <c r="AF105" i="1"/>
  <c r="AE105" i="1"/>
  <c r="AD105" i="1"/>
  <c r="Z107" i="1"/>
  <c r="AA106" i="1"/>
  <c r="AC106" i="1" s="1"/>
  <c r="AH106" i="1" l="1"/>
  <c r="AG106" i="1"/>
  <c r="AF106" i="1"/>
  <c r="AE106" i="1"/>
  <c r="AD106" i="1"/>
  <c r="Z108" i="1"/>
  <c r="AA107" i="1"/>
  <c r="AC107" i="1" s="1"/>
  <c r="AH107" i="1" l="1"/>
  <c r="AG107" i="1"/>
  <c r="Z109" i="1"/>
  <c r="AA108" i="1"/>
  <c r="AC108" i="1" s="1"/>
  <c r="AF107" i="1"/>
  <c r="AE107" i="1"/>
  <c r="AD107" i="1"/>
  <c r="AH108" i="1" l="1"/>
  <c r="AG108" i="1"/>
  <c r="AF108" i="1"/>
  <c r="AD108" i="1"/>
  <c r="AE108" i="1"/>
  <c r="Z110" i="1"/>
  <c r="AA109" i="1"/>
  <c r="AC109" i="1" s="1"/>
  <c r="AH109" i="1" l="1"/>
  <c r="AG109" i="1"/>
  <c r="Z111" i="1"/>
  <c r="AA110" i="1"/>
  <c r="AC110" i="1" s="1"/>
  <c r="AF109" i="1"/>
  <c r="AE109" i="1"/>
  <c r="AD109" i="1"/>
  <c r="AH110" i="1" l="1"/>
  <c r="AG110" i="1"/>
  <c r="AF110" i="1"/>
  <c r="AD110" i="1"/>
  <c r="AE110" i="1"/>
  <c r="Z112" i="1"/>
  <c r="AA111" i="1"/>
  <c r="AC111" i="1" s="1"/>
  <c r="AH111" i="1" l="1"/>
  <c r="AG111" i="1"/>
  <c r="Z113" i="1"/>
  <c r="AA112" i="1"/>
  <c r="AC112" i="1" s="1"/>
  <c r="AD111" i="1"/>
  <c r="AF111" i="1"/>
  <c r="AE111" i="1"/>
  <c r="AH112" i="1" l="1"/>
  <c r="AG112" i="1"/>
  <c r="AF112" i="1"/>
  <c r="AD112" i="1"/>
  <c r="AE112" i="1"/>
  <c r="Z114" i="1"/>
  <c r="AA113" i="1"/>
  <c r="AC113" i="1" s="1"/>
  <c r="AH113" i="1" l="1"/>
  <c r="AG113" i="1"/>
  <c r="AF113" i="1"/>
  <c r="AD113" i="1"/>
  <c r="AE113" i="1"/>
  <c r="Z115" i="1"/>
  <c r="AA114" i="1"/>
  <c r="AC114" i="1" s="1"/>
  <c r="AH114" i="1" l="1"/>
  <c r="AG114" i="1"/>
  <c r="Z116" i="1"/>
  <c r="AA115" i="1"/>
  <c r="AC115" i="1" s="1"/>
  <c r="AF114" i="1"/>
  <c r="AD114" i="1"/>
  <c r="AE114" i="1"/>
  <c r="AH115" i="1" l="1"/>
  <c r="AG115" i="1"/>
  <c r="AF115" i="1"/>
  <c r="AE115" i="1"/>
  <c r="AD115" i="1"/>
  <c r="Z117" i="1"/>
  <c r="AA116" i="1"/>
  <c r="AC116" i="1" s="1"/>
  <c r="AH116" i="1" l="1"/>
  <c r="AG116" i="1"/>
  <c r="AF116" i="1"/>
  <c r="AE116" i="1"/>
  <c r="AD116" i="1"/>
  <c r="Z118" i="1"/>
  <c r="AA117" i="1"/>
  <c r="AC117" i="1" s="1"/>
  <c r="AH117" i="1" l="1"/>
  <c r="AG117" i="1"/>
  <c r="Z119" i="1"/>
  <c r="AA118" i="1"/>
  <c r="AC118" i="1" s="1"/>
  <c r="AF117" i="1"/>
  <c r="AE117" i="1"/>
  <c r="AD117" i="1"/>
  <c r="AH118" i="1" l="1"/>
  <c r="AG118" i="1"/>
  <c r="AF118" i="1"/>
  <c r="AE118" i="1"/>
  <c r="AD118" i="1"/>
  <c r="Z120" i="1"/>
  <c r="AA119" i="1"/>
  <c r="AC119" i="1" s="1"/>
  <c r="AH119" i="1" l="1"/>
  <c r="AG119" i="1"/>
  <c r="AF119" i="1"/>
  <c r="AE119" i="1"/>
  <c r="AD119" i="1"/>
  <c r="Z121" i="1"/>
  <c r="AA120" i="1"/>
  <c r="AC120" i="1" s="1"/>
  <c r="AH120" i="1" l="1"/>
  <c r="AG120" i="1"/>
  <c r="AF120" i="1"/>
  <c r="AD120" i="1"/>
  <c r="AE120" i="1"/>
  <c r="Z122" i="1"/>
  <c r="AA121" i="1"/>
  <c r="AC121" i="1" s="1"/>
  <c r="AH121" i="1" l="1"/>
  <c r="AG121" i="1"/>
  <c r="AF121" i="1"/>
  <c r="AE121" i="1"/>
  <c r="AD121" i="1"/>
  <c r="Z123" i="1"/>
  <c r="AA122" i="1"/>
  <c r="AC122" i="1" s="1"/>
  <c r="AH122" i="1" l="1"/>
  <c r="AG122" i="1"/>
  <c r="AF122" i="1"/>
  <c r="AE122" i="1"/>
  <c r="AD122" i="1"/>
  <c r="Z124" i="1"/>
  <c r="AA123" i="1"/>
  <c r="AC123" i="1" s="1"/>
  <c r="AH123" i="1" l="1"/>
  <c r="AG123" i="1"/>
  <c r="AD123" i="1"/>
  <c r="AF123" i="1"/>
  <c r="AE123" i="1"/>
  <c r="Z125" i="1"/>
  <c r="AA124" i="1"/>
  <c r="AC124" i="1" s="1"/>
  <c r="AH124" i="1" l="1"/>
  <c r="AG124" i="1"/>
  <c r="Z126" i="1"/>
  <c r="AA125" i="1"/>
  <c r="AC125" i="1" s="1"/>
  <c r="AF124" i="1"/>
  <c r="AD124" i="1"/>
  <c r="AE124" i="1"/>
  <c r="AH125" i="1" l="1"/>
  <c r="AG125" i="1"/>
  <c r="AF125" i="1"/>
  <c r="AE125" i="1"/>
  <c r="AD125" i="1"/>
  <c r="Z127" i="1"/>
  <c r="AA126" i="1"/>
  <c r="AC126" i="1" s="1"/>
  <c r="AH126" i="1" l="1"/>
  <c r="AG126" i="1"/>
  <c r="AF126" i="1"/>
  <c r="AE126" i="1"/>
  <c r="AD126" i="1"/>
  <c r="Z128" i="1"/>
  <c r="AA127" i="1"/>
  <c r="AC127" i="1" s="1"/>
  <c r="AH127" i="1" l="1"/>
  <c r="AG127" i="1"/>
  <c r="AF127" i="1"/>
  <c r="AE127" i="1"/>
  <c r="AD127" i="1"/>
  <c r="Z129" i="1"/>
  <c r="AA128" i="1"/>
  <c r="AC128" i="1" s="1"/>
  <c r="AH128" i="1" l="1"/>
  <c r="AG128" i="1"/>
  <c r="Z130" i="1"/>
  <c r="AA129" i="1"/>
  <c r="AC129" i="1" s="1"/>
  <c r="AF128" i="1"/>
  <c r="AE128" i="1"/>
  <c r="AD128" i="1"/>
  <c r="AH129" i="1" l="1"/>
  <c r="AG129" i="1"/>
  <c r="Z131" i="1"/>
  <c r="AA130" i="1"/>
  <c r="AC130" i="1" s="1"/>
  <c r="AF129" i="1"/>
  <c r="AE129" i="1"/>
  <c r="AD129" i="1"/>
  <c r="AH130" i="1" l="1"/>
  <c r="AG130" i="1"/>
  <c r="AF130" i="1"/>
  <c r="AE130" i="1"/>
  <c r="AD130" i="1"/>
  <c r="Z132" i="1"/>
  <c r="AA131" i="1"/>
  <c r="AC131" i="1" s="1"/>
  <c r="AH131" i="1" l="1"/>
  <c r="AG131" i="1"/>
  <c r="Z133" i="1"/>
  <c r="AA132" i="1"/>
  <c r="AC132" i="1" s="1"/>
  <c r="AF131" i="1"/>
  <c r="AE131" i="1"/>
  <c r="AD131" i="1"/>
  <c r="AH132" i="1" l="1"/>
  <c r="AG132" i="1"/>
  <c r="AF132" i="1"/>
  <c r="AE132" i="1"/>
  <c r="AD132" i="1"/>
  <c r="Z134" i="1"/>
  <c r="AA133" i="1"/>
  <c r="AC133" i="1" s="1"/>
  <c r="AH133" i="1" l="1"/>
  <c r="AG133" i="1"/>
  <c r="Z135" i="1"/>
  <c r="AA134" i="1"/>
  <c r="AC134" i="1" s="1"/>
  <c r="AF133" i="1"/>
  <c r="AE133" i="1"/>
  <c r="AD133" i="1"/>
  <c r="AH134" i="1" l="1"/>
  <c r="AG134" i="1"/>
  <c r="AE134" i="1"/>
  <c r="AF134" i="1"/>
  <c r="AD134" i="1"/>
  <c r="Z136" i="1"/>
  <c r="AA135" i="1"/>
  <c r="AC135" i="1" s="1"/>
  <c r="AH135" i="1" l="1"/>
  <c r="AG135" i="1"/>
  <c r="AF135" i="1"/>
  <c r="AE135" i="1"/>
  <c r="AD135" i="1"/>
  <c r="Z137" i="1"/>
  <c r="AA136" i="1"/>
  <c r="AC136" i="1" s="1"/>
  <c r="AH136" i="1" l="1"/>
  <c r="AG136" i="1"/>
  <c r="AF136" i="1"/>
  <c r="AE136" i="1"/>
  <c r="AD136" i="1"/>
  <c r="Z138" i="1"/>
  <c r="AA137" i="1"/>
  <c r="AC137" i="1" s="1"/>
  <c r="AH137" i="1" l="1"/>
  <c r="AG137" i="1"/>
  <c r="AF137" i="1"/>
  <c r="AD137" i="1"/>
  <c r="AE137" i="1"/>
  <c r="Z139" i="1"/>
  <c r="AA138" i="1"/>
  <c r="AC138" i="1" s="1"/>
  <c r="AH138" i="1" l="1"/>
  <c r="AG138" i="1"/>
  <c r="AF138" i="1"/>
  <c r="AE138" i="1"/>
  <c r="AD138" i="1"/>
  <c r="Z140" i="1"/>
  <c r="AA139" i="1"/>
  <c r="AC139" i="1" s="1"/>
  <c r="AH139" i="1" l="1"/>
  <c r="AG139" i="1"/>
  <c r="AF139" i="1"/>
  <c r="AE139" i="1"/>
  <c r="AD139" i="1"/>
  <c r="Z141" i="1"/>
  <c r="AA140" i="1"/>
  <c r="AC140" i="1" s="1"/>
  <c r="AH140" i="1" l="1"/>
  <c r="AG140" i="1"/>
  <c r="AF140" i="1"/>
  <c r="AE140" i="1"/>
  <c r="AD140" i="1"/>
  <c r="Z142" i="1"/>
  <c r="AA141" i="1"/>
  <c r="AC141" i="1" s="1"/>
  <c r="AH141" i="1" l="1"/>
  <c r="AG141" i="1"/>
  <c r="AF141" i="1"/>
  <c r="AE141" i="1"/>
  <c r="AD141" i="1"/>
  <c r="Z143" i="1"/>
  <c r="AA142" i="1"/>
  <c r="AC142" i="1" s="1"/>
  <c r="AH142" i="1" l="1"/>
  <c r="AG142" i="1"/>
  <c r="AF142" i="1"/>
  <c r="AE142" i="1"/>
  <c r="AD142" i="1"/>
  <c r="Z144" i="1"/>
  <c r="AA143" i="1"/>
  <c r="AC143" i="1" s="1"/>
  <c r="AH143" i="1" l="1"/>
  <c r="AG143" i="1"/>
  <c r="AF143" i="1"/>
  <c r="AD143" i="1"/>
  <c r="AE143" i="1"/>
  <c r="Z145" i="1"/>
  <c r="AA144" i="1"/>
  <c r="AC144" i="1" s="1"/>
  <c r="AH144" i="1" l="1"/>
  <c r="AG144" i="1"/>
  <c r="AF144" i="1"/>
  <c r="AE144" i="1"/>
  <c r="AD144" i="1"/>
  <c r="Z146" i="1"/>
  <c r="AA145" i="1"/>
  <c r="AC145" i="1" s="1"/>
  <c r="AH145" i="1" l="1"/>
  <c r="AG145" i="1"/>
  <c r="AF145" i="1"/>
  <c r="AE145" i="1"/>
  <c r="AD145" i="1"/>
  <c r="Z147" i="1"/>
  <c r="AA146" i="1"/>
  <c r="AC146" i="1" s="1"/>
  <c r="AH146" i="1" l="1"/>
  <c r="AG146" i="1"/>
  <c r="AF146" i="1"/>
  <c r="AE146" i="1"/>
  <c r="AD146" i="1"/>
  <c r="Z148" i="1"/>
  <c r="AA147" i="1"/>
  <c r="AC147" i="1" s="1"/>
  <c r="AH147" i="1" l="1"/>
  <c r="AG147" i="1"/>
  <c r="AF147" i="1"/>
  <c r="AE147" i="1"/>
  <c r="AD147" i="1"/>
  <c r="Z149" i="1"/>
  <c r="AA148" i="1"/>
  <c r="AC148" i="1" s="1"/>
  <c r="AH148" i="1" l="1"/>
  <c r="AG148" i="1"/>
  <c r="AF148" i="1"/>
  <c r="AE148" i="1"/>
  <c r="AD148" i="1"/>
  <c r="Z150" i="1"/>
  <c r="AA149" i="1"/>
  <c r="AC149" i="1" s="1"/>
  <c r="AH149" i="1" l="1"/>
  <c r="AG149" i="1"/>
  <c r="AF149" i="1"/>
  <c r="AE149" i="1"/>
  <c r="AD149" i="1"/>
  <c r="Z151" i="1"/>
  <c r="AA150" i="1"/>
  <c r="AC150" i="1" s="1"/>
  <c r="AH150" i="1" l="1"/>
  <c r="AG150" i="1"/>
  <c r="AF150" i="1"/>
  <c r="AE150" i="1"/>
  <c r="AD150" i="1"/>
  <c r="Z152" i="1"/>
  <c r="AA151" i="1"/>
  <c r="AC151" i="1" s="1"/>
  <c r="AH151" i="1" l="1"/>
  <c r="AG151" i="1"/>
  <c r="AF151" i="1"/>
  <c r="AE151" i="1"/>
  <c r="AD151" i="1"/>
  <c r="Z153" i="1"/>
  <c r="AA152" i="1"/>
  <c r="AC152" i="1" s="1"/>
  <c r="AH152" i="1" l="1"/>
  <c r="AG152" i="1"/>
  <c r="Z154" i="1"/>
  <c r="AA153" i="1"/>
  <c r="AC153" i="1" s="1"/>
  <c r="AE152" i="1"/>
  <c r="AD152" i="1"/>
  <c r="AF152" i="1"/>
  <c r="AH153" i="1" l="1"/>
  <c r="AG153" i="1"/>
  <c r="AF153" i="1"/>
  <c r="AE153" i="1"/>
  <c r="AD153" i="1"/>
  <c r="Z155" i="1"/>
  <c r="AA154" i="1"/>
  <c r="AC154" i="1" s="1"/>
  <c r="AH154" i="1" l="1"/>
  <c r="AG154" i="1"/>
  <c r="AF154" i="1"/>
  <c r="AE154" i="1"/>
  <c r="AD154" i="1"/>
  <c r="Z156" i="1"/>
  <c r="AA155" i="1"/>
  <c r="AC155" i="1" s="1"/>
  <c r="AH155" i="1" l="1"/>
  <c r="AG155" i="1"/>
  <c r="AE155" i="1"/>
  <c r="AF155" i="1"/>
  <c r="AD155" i="1"/>
  <c r="Z157" i="1"/>
  <c r="AA156" i="1"/>
  <c r="AC156" i="1" s="1"/>
  <c r="AH156" i="1" l="1"/>
  <c r="AG156" i="1"/>
  <c r="AF156" i="1"/>
  <c r="AE156" i="1"/>
  <c r="AD156" i="1"/>
  <c r="Z158" i="1"/>
  <c r="AA157" i="1"/>
  <c r="AC157" i="1" s="1"/>
  <c r="AH157" i="1" l="1"/>
  <c r="AG157" i="1"/>
  <c r="AE157" i="1"/>
  <c r="AD157" i="1"/>
  <c r="AF157" i="1"/>
  <c r="Z159" i="1"/>
  <c r="AA158" i="1"/>
  <c r="AC158" i="1" s="1"/>
  <c r="AH158" i="1" l="1"/>
  <c r="AG158" i="1"/>
  <c r="AE158" i="1"/>
  <c r="AD158" i="1"/>
  <c r="AF158" i="1"/>
  <c r="Z160" i="1"/>
  <c r="AA159" i="1"/>
  <c r="AC159" i="1" s="1"/>
  <c r="AH159" i="1" l="1"/>
  <c r="AG159" i="1"/>
  <c r="AF159" i="1"/>
  <c r="AE159" i="1"/>
  <c r="AD159" i="1"/>
  <c r="Z161" i="1"/>
  <c r="AA160" i="1"/>
  <c r="AC160" i="1" s="1"/>
  <c r="AH160" i="1" l="1"/>
  <c r="AG160" i="1"/>
  <c r="AF160" i="1"/>
  <c r="AD160" i="1"/>
  <c r="AE160" i="1"/>
  <c r="Z162" i="1"/>
  <c r="AA161" i="1"/>
  <c r="AC161" i="1" s="1"/>
  <c r="AH161" i="1" l="1"/>
  <c r="AG161" i="1"/>
  <c r="AF161" i="1"/>
  <c r="AE161" i="1"/>
  <c r="AD161" i="1"/>
  <c r="Z163" i="1"/>
  <c r="AA162" i="1"/>
  <c r="AC162" i="1" s="1"/>
  <c r="AH162" i="1" l="1"/>
  <c r="AG162" i="1"/>
  <c r="Z164" i="1"/>
  <c r="AA163" i="1"/>
  <c r="AC163" i="1" s="1"/>
  <c r="AF162" i="1"/>
  <c r="AD162" i="1"/>
  <c r="AE162" i="1"/>
  <c r="AH163" i="1" l="1"/>
  <c r="AG163" i="1"/>
  <c r="AF163" i="1"/>
  <c r="AE163" i="1"/>
  <c r="AD163" i="1"/>
  <c r="Z165" i="1"/>
  <c r="AA164" i="1"/>
  <c r="AC164" i="1" s="1"/>
  <c r="AH164" i="1" l="1"/>
  <c r="AG164" i="1"/>
  <c r="AE164" i="1"/>
  <c r="AF164" i="1"/>
  <c r="AD164" i="1"/>
  <c r="Z166" i="1"/>
  <c r="AA165" i="1"/>
  <c r="AC165" i="1" s="1"/>
  <c r="AH165" i="1" l="1"/>
  <c r="AG165" i="1"/>
  <c r="AF165" i="1"/>
  <c r="AE165" i="1"/>
  <c r="AD165" i="1"/>
  <c r="Z167" i="1"/>
  <c r="AA166" i="1"/>
  <c r="AC166" i="1" s="1"/>
  <c r="AH166" i="1" l="1"/>
  <c r="AG166" i="1"/>
  <c r="AF166" i="1"/>
  <c r="AE166" i="1"/>
  <c r="AD166" i="1"/>
  <c r="Z168" i="1"/>
  <c r="AA167" i="1"/>
  <c r="AC167" i="1" s="1"/>
  <c r="AH167" i="1" l="1"/>
  <c r="AG167" i="1"/>
  <c r="AF167" i="1"/>
  <c r="AD167" i="1"/>
  <c r="AE167" i="1"/>
  <c r="Z169" i="1"/>
  <c r="AA168" i="1"/>
  <c r="AC168" i="1" s="1"/>
  <c r="AH168" i="1" l="1"/>
  <c r="AG168" i="1"/>
  <c r="AF168" i="1"/>
  <c r="AE168" i="1"/>
  <c r="AD168" i="1"/>
  <c r="Z170" i="1"/>
  <c r="AA169" i="1"/>
  <c r="AC169" i="1" s="1"/>
  <c r="AH169" i="1" l="1"/>
  <c r="AG169" i="1"/>
  <c r="AF169" i="1"/>
  <c r="AE169" i="1"/>
  <c r="AD169" i="1"/>
  <c r="Z171" i="1"/>
  <c r="AA170" i="1"/>
  <c r="AC170" i="1" s="1"/>
  <c r="AH170" i="1" l="1"/>
  <c r="AG170" i="1"/>
  <c r="AF170" i="1"/>
  <c r="AD170" i="1"/>
  <c r="AE170" i="1"/>
  <c r="Z172" i="1"/>
  <c r="AA171" i="1"/>
  <c r="AC171" i="1" s="1"/>
  <c r="AH171" i="1" l="1"/>
  <c r="AG171" i="1"/>
  <c r="AF171" i="1"/>
  <c r="AE171" i="1"/>
  <c r="AD171" i="1"/>
  <c r="Z173" i="1"/>
  <c r="AA172" i="1"/>
  <c r="AC172" i="1" s="1"/>
  <c r="AH172" i="1" l="1"/>
  <c r="AG172" i="1"/>
  <c r="AF172" i="1"/>
  <c r="AE172" i="1"/>
  <c r="AD172" i="1"/>
  <c r="Z174" i="1"/>
  <c r="AA173" i="1"/>
  <c r="AC173" i="1" s="1"/>
  <c r="AH173" i="1" l="1"/>
  <c r="AG173" i="1"/>
  <c r="AF173" i="1"/>
  <c r="AE173" i="1"/>
  <c r="AD173" i="1"/>
  <c r="Z175" i="1"/>
  <c r="AA174" i="1"/>
  <c r="AC174" i="1" s="1"/>
  <c r="AH174" i="1" l="1"/>
  <c r="AG174" i="1"/>
  <c r="Z176" i="1"/>
  <c r="AA175" i="1"/>
  <c r="AC175" i="1" s="1"/>
  <c r="AF174" i="1"/>
  <c r="AE174" i="1"/>
  <c r="AD174" i="1"/>
  <c r="AH175" i="1" l="1"/>
  <c r="AG175" i="1"/>
  <c r="AF175" i="1"/>
  <c r="AD175" i="1"/>
  <c r="AE175" i="1"/>
  <c r="Z177" i="1"/>
  <c r="AA176" i="1"/>
  <c r="AC176" i="1" s="1"/>
  <c r="AH176" i="1" l="1"/>
  <c r="AG176" i="1"/>
  <c r="AE176" i="1"/>
  <c r="AF176" i="1"/>
  <c r="AD176" i="1"/>
  <c r="Z178" i="1"/>
  <c r="AA177" i="1"/>
  <c r="AC177" i="1" s="1"/>
  <c r="AH177" i="1" l="1"/>
  <c r="AG177" i="1"/>
  <c r="AF177" i="1"/>
  <c r="AD177" i="1"/>
  <c r="AE177" i="1"/>
  <c r="Z179" i="1"/>
  <c r="AA178" i="1"/>
  <c r="AC178" i="1" s="1"/>
  <c r="AH178" i="1" l="1"/>
  <c r="AG178" i="1"/>
  <c r="AF178" i="1"/>
  <c r="AD178" i="1"/>
  <c r="AE178" i="1"/>
  <c r="Z180" i="1"/>
  <c r="AA179" i="1"/>
  <c r="AC179" i="1" s="1"/>
  <c r="AH179" i="1" l="1"/>
  <c r="AG179" i="1"/>
  <c r="AD179" i="1"/>
  <c r="AF179" i="1"/>
  <c r="AE179" i="1"/>
  <c r="Z181" i="1"/>
  <c r="AA180" i="1"/>
  <c r="AC180" i="1" s="1"/>
  <c r="AH180" i="1" l="1"/>
  <c r="AG180" i="1"/>
  <c r="AF180" i="1"/>
  <c r="AD180" i="1"/>
  <c r="AE180" i="1"/>
  <c r="Z182" i="1"/>
  <c r="AA181" i="1"/>
  <c r="AC181" i="1" s="1"/>
  <c r="AH181" i="1" l="1"/>
  <c r="AG181" i="1"/>
  <c r="AF181" i="1"/>
  <c r="AE181" i="1"/>
  <c r="AD181" i="1"/>
  <c r="Z183" i="1"/>
  <c r="AA182" i="1"/>
  <c r="AC182" i="1" s="1"/>
  <c r="AH182" i="1" l="1"/>
  <c r="AG182" i="1"/>
  <c r="AF182" i="1"/>
  <c r="AE182" i="1"/>
  <c r="AD182" i="1"/>
  <c r="Z184" i="1"/>
  <c r="AA183" i="1"/>
  <c r="AC183" i="1" s="1"/>
  <c r="AH183" i="1" l="1"/>
  <c r="AG183" i="1"/>
  <c r="AF183" i="1"/>
  <c r="AE183" i="1"/>
  <c r="AD183" i="1"/>
  <c r="Z185" i="1"/>
  <c r="AA184" i="1"/>
  <c r="AC184" i="1" s="1"/>
  <c r="AH184" i="1" l="1"/>
  <c r="AG184" i="1"/>
  <c r="AF184" i="1"/>
  <c r="AE184" i="1"/>
  <c r="AD184" i="1"/>
  <c r="Z186" i="1"/>
  <c r="AA185" i="1"/>
  <c r="AC185" i="1" s="1"/>
  <c r="AH185" i="1" l="1"/>
  <c r="AG185" i="1"/>
  <c r="AF185" i="1"/>
  <c r="AE185" i="1"/>
  <c r="AD185" i="1"/>
  <c r="Z187" i="1"/>
  <c r="AA186" i="1"/>
  <c r="AC186" i="1" s="1"/>
  <c r="AH186" i="1" l="1"/>
  <c r="AG186" i="1"/>
  <c r="AF186" i="1"/>
  <c r="AE186" i="1"/>
  <c r="AD186" i="1"/>
  <c r="Z188" i="1"/>
  <c r="AA187" i="1"/>
  <c r="AC187" i="1" s="1"/>
  <c r="AH187" i="1" l="1"/>
  <c r="AG187" i="1"/>
  <c r="AF187" i="1"/>
  <c r="AE187" i="1"/>
  <c r="AD187" i="1"/>
  <c r="Z189" i="1"/>
  <c r="AA188" i="1"/>
  <c r="AC188" i="1" s="1"/>
  <c r="AH188" i="1" l="1"/>
  <c r="AG188" i="1"/>
  <c r="Z190" i="1"/>
  <c r="AA189" i="1"/>
  <c r="AC189" i="1" s="1"/>
  <c r="AE188" i="1"/>
  <c r="AD188" i="1"/>
  <c r="AF188" i="1"/>
  <c r="AH189" i="1" l="1"/>
  <c r="AG189" i="1"/>
  <c r="Z191" i="1"/>
  <c r="AA190" i="1"/>
  <c r="AC190" i="1" s="1"/>
  <c r="AF189" i="1"/>
  <c r="AE189" i="1"/>
  <c r="AD189" i="1"/>
  <c r="AH190" i="1" l="1"/>
  <c r="AG190" i="1"/>
  <c r="AF190" i="1"/>
  <c r="AD190" i="1"/>
  <c r="AE190" i="1"/>
  <c r="Z192" i="1"/>
  <c r="AA191" i="1"/>
  <c r="AC191" i="1" s="1"/>
  <c r="AH191" i="1" l="1"/>
  <c r="AG191" i="1"/>
  <c r="AF191" i="1"/>
  <c r="AE191" i="1"/>
  <c r="AD191" i="1"/>
  <c r="Z193" i="1"/>
  <c r="AA192" i="1"/>
  <c r="AC192" i="1" s="1"/>
  <c r="AH192" i="1" l="1"/>
  <c r="AG192" i="1"/>
  <c r="AF192" i="1"/>
  <c r="AE192" i="1"/>
  <c r="AD192" i="1"/>
  <c r="Z194" i="1"/>
  <c r="AA193" i="1"/>
  <c r="AC193" i="1" s="1"/>
  <c r="AH193" i="1" l="1"/>
  <c r="AG193" i="1"/>
  <c r="Z195" i="1"/>
  <c r="AA194" i="1"/>
  <c r="AC194" i="1" s="1"/>
  <c r="AF193" i="1"/>
  <c r="AE193" i="1"/>
  <c r="AD193" i="1"/>
  <c r="AH194" i="1" l="1"/>
  <c r="AG194" i="1"/>
  <c r="AF194" i="1"/>
  <c r="AD194" i="1"/>
  <c r="AE194" i="1"/>
  <c r="Z196" i="1"/>
  <c r="AA195" i="1"/>
  <c r="AC195" i="1" s="1"/>
  <c r="AH195" i="1" l="1"/>
  <c r="AG195" i="1"/>
  <c r="AF195" i="1"/>
  <c r="AE195" i="1"/>
  <c r="AD195" i="1"/>
  <c r="Z197" i="1"/>
  <c r="AA196" i="1"/>
  <c r="AC196" i="1" s="1"/>
  <c r="AH196" i="1" l="1"/>
  <c r="AG196" i="1"/>
  <c r="AF196" i="1"/>
  <c r="AD196" i="1"/>
  <c r="AE196" i="1"/>
  <c r="Z198" i="1"/>
  <c r="AA197" i="1"/>
  <c r="AC197" i="1" s="1"/>
  <c r="AH197" i="1" l="1"/>
  <c r="AG197" i="1"/>
  <c r="AF197" i="1"/>
  <c r="AE197" i="1"/>
  <c r="AD197" i="1"/>
  <c r="Z199" i="1"/>
  <c r="AA198" i="1"/>
  <c r="AC198" i="1" s="1"/>
  <c r="AH198" i="1" l="1"/>
  <c r="AG198" i="1"/>
  <c r="AF198" i="1"/>
  <c r="AE198" i="1"/>
  <c r="AD198" i="1"/>
  <c r="Z200" i="1"/>
  <c r="AA199" i="1"/>
  <c r="AC199" i="1" s="1"/>
  <c r="AH199" i="1" l="1"/>
  <c r="AG199" i="1"/>
  <c r="AF199" i="1"/>
  <c r="AD199" i="1"/>
  <c r="AE199" i="1"/>
  <c r="Z201" i="1"/>
  <c r="AA200" i="1"/>
  <c r="AC200" i="1" s="1"/>
  <c r="AH200" i="1" l="1"/>
  <c r="AG200" i="1"/>
  <c r="AE200" i="1"/>
  <c r="AF200" i="1"/>
  <c r="AD200" i="1"/>
  <c r="Z202" i="1"/>
  <c r="AA201" i="1"/>
  <c r="AC201" i="1" s="1"/>
  <c r="AH201" i="1" l="1"/>
  <c r="AG201" i="1"/>
  <c r="AF201" i="1"/>
  <c r="AE201" i="1"/>
  <c r="AD201" i="1"/>
  <c r="Z203" i="1"/>
  <c r="AA202" i="1"/>
  <c r="AC202" i="1" s="1"/>
  <c r="AH202" i="1" l="1"/>
  <c r="AG202" i="1"/>
  <c r="AF202" i="1"/>
  <c r="AD202" i="1"/>
  <c r="AE202" i="1"/>
  <c r="Z204" i="1"/>
  <c r="AA203" i="1"/>
  <c r="AC203" i="1" s="1"/>
  <c r="AH203" i="1" l="1"/>
  <c r="AG203" i="1"/>
  <c r="AF203" i="1"/>
  <c r="AD203" i="1"/>
  <c r="AE203" i="1"/>
  <c r="Z205" i="1"/>
  <c r="AA204" i="1"/>
  <c r="AC204" i="1" s="1"/>
  <c r="AH204" i="1" l="1"/>
  <c r="AG204" i="1"/>
  <c r="AF204" i="1"/>
  <c r="AE204" i="1"/>
  <c r="AD204" i="1"/>
  <c r="Z206" i="1"/>
  <c r="AA205" i="1"/>
  <c r="AC205" i="1" s="1"/>
  <c r="AH205" i="1" l="1"/>
  <c r="AG205" i="1"/>
  <c r="AE205" i="1"/>
  <c r="AD205" i="1"/>
  <c r="AF205" i="1"/>
  <c r="Z207" i="1"/>
  <c r="AA206" i="1"/>
  <c r="AC206" i="1" s="1"/>
  <c r="AH206" i="1" l="1"/>
  <c r="AG206" i="1"/>
  <c r="AF206" i="1"/>
  <c r="AE206" i="1"/>
  <c r="AD206" i="1"/>
  <c r="Z208" i="1"/>
  <c r="AA207" i="1"/>
  <c r="AC207" i="1" s="1"/>
  <c r="AH207" i="1" l="1"/>
  <c r="AG207" i="1"/>
  <c r="AF207" i="1"/>
  <c r="AE207" i="1"/>
  <c r="AD207" i="1"/>
  <c r="Z209" i="1"/>
  <c r="AA208" i="1"/>
  <c r="AC208" i="1" s="1"/>
  <c r="AH208" i="1" l="1"/>
  <c r="AG208" i="1"/>
  <c r="AF208" i="1"/>
  <c r="AE208" i="1"/>
  <c r="AD208" i="1"/>
  <c r="Z210" i="1"/>
  <c r="AA209" i="1"/>
  <c r="AC209" i="1" s="1"/>
  <c r="AH209" i="1" l="1"/>
  <c r="AG209" i="1"/>
  <c r="AF209" i="1"/>
  <c r="AE209" i="1"/>
  <c r="AD209" i="1"/>
  <c r="Z211" i="1"/>
  <c r="AA210" i="1"/>
  <c r="AC210" i="1" s="1"/>
  <c r="AH210" i="1" l="1"/>
  <c r="AG210" i="1"/>
  <c r="AF210" i="1"/>
  <c r="AE210" i="1"/>
  <c r="AD210" i="1"/>
  <c r="Z212" i="1"/>
  <c r="AA211" i="1"/>
  <c r="AC211" i="1" s="1"/>
  <c r="AH211" i="1" l="1"/>
  <c r="AG211" i="1"/>
  <c r="AE211" i="1"/>
  <c r="AF211" i="1"/>
  <c r="AD211" i="1"/>
  <c r="Z213" i="1"/>
  <c r="AA212" i="1"/>
  <c r="AC212" i="1" s="1"/>
  <c r="AH212" i="1" l="1"/>
  <c r="AG212" i="1"/>
  <c r="AE212" i="1"/>
  <c r="AF212" i="1"/>
  <c r="AD212" i="1"/>
  <c r="Z214" i="1"/>
  <c r="AA213" i="1"/>
  <c r="AC213" i="1" s="1"/>
  <c r="AH213" i="1" l="1"/>
  <c r="AG213" i="1"/>
  <c r="AF213" i="1"/>
  <c r="AE213" i="1"/>
  <c r="AD213" i="1"/>
  <c r="Z215" i="1"/>
  <c r="AA214" i="1"/>
  <c r="AC214" i="1" s="1"/>
  <c r="AH214" i="1" l="1"/>
  <c r="AG214" i="1"/>
  <c r="AF214" i="1"/>
  <c r="AD214" i="1"/>
  <c r="AE214" i="1"/>
  <c r="Z216" i="1"/>
  <c r="AA215" i="1"/>
  <c r="AC215" i="1" s="1"/>
  <c r="AH215" i="1" l="1"/>
  <c r="AG215" i="1"/>
  <c r="AF215" i="1"/>
  <c r="AD215" i="1"/>
  <c r="AE215" i="1"/>
  <c r="Z217" i="1"/>
  <c r="AA216" i="1"/>
  <c r="AC216" i="1" s="1"/>
  <c r="AH216" i="1" l="1"/>
  <c r="AG216" i="1"/>
  <c r="AF216" i="1"/>
  <c r="AD216" i="1"/>
  <c r="AE216" i="1"/>
  <c r="Z218" i="1"/>
  <c r="AA217" i="1"/>
  <c r="AC217" i="1" s="1"/>
  <c r="AH217" i="1" l="1"/>
  <c r="AG217" i="1"/>
  <c r="AD217" i="1"/>
  <c r="AF217" i="1"/>
  <c r="AE217" i="1"/>
  <c r="Z219" i="1"/>
  <c r="AA218" i="1"/>
  <c r="AC218" i="1" s="1"/>
  <c r="AH218" i="1" l="1"/>
  <c r="AG218" i="1"/>
  <c r="AF218" i="1"/>
  <c r="AD218" i="1"/>
  <c r="AE218" i="1"/>
  <c r="Z220" i="1"/>
  <c r="AA219" i="1"/>
  <c r="AC219" i="1" s="1"/>
  <c r="AH219" i="1" l="1"/>
  <c r="AG219" i="1"/>
  <c r="AF219" i="1"/>
  <c r="AE219" i="1"/>
  <c r="AD219" i="1"/>
  <c r="Z221" i="1"/>
  <c r="AA220" i="1"/>
  <c r="AC220" i="1" s="1"/>
  <c r="AH220" i="1" l="1"/>
  <c r="AG220" i="1"/>
  <c r="AF220" i="1"/>
  <c r="AE220" i="1"/>
  <c r="AD220" i="1"/>
  <c r="Z222" i="1"/>
  <c r="AA221" i="1"/>
  <c r="AC221" i="1" s="1"/>
  <c r="AH221" i="1" l="1"/>
  <c r="AG221" i="1"/>
  <c r="AF221" i="1"/>
  <c r="AE221" i="1"/>
  <c r="AD221" i="1"/>
  <c r="Z223" i="1"/>
  <c r="AA222" i="1"/>
  <c r="AC222" i="1" s="1"/>
  <c r="AH222" i="1" l="1"/>
  <c r="AG222" i="1"/>
  <c r="AF222" i="1"/>
  <c r="AE222" i="1"/>
  <c r="AD222" i="1"/>
  <c r="Z224" i="1"/>
  <c r="AA223" i="1"/>
  <c r="AC223" i="1" s="1"/>
  <c r="AH223" i="1" l="1"/>
  <c r="AG223" i="1"/>
  <c r="AF223" i="1"/>
  <c r="AE223" i="1"/>
  <c r="AD223" i="1"/>
  <c r="Z225" i="1"/>
  <c r="AA224" i="1"/>
  <c r="AC224" i="1" s="1"/>
  <c r="AH224" i="1" l="1"/>
  <c r="AG224" i="1"/>
  <c r="AE224" i="1"/>
  <c r="AF224" i="1"/>
  <c r="AD224" i="1"/>
  <c r="Z226" i="1"/>
  <c r="AA225" i="1"/>
  <c r="AC225" i="1" s="1"/>
  <c r="AH225" i="1" l="1"/>
  <c r="AG225" i="1"/>
  <c r="AF225" i="1"/>
  <c r="AE225" i="1"/>
  <c r="AD225" i="1"/>
  <c r="Z227" i="1"/>
  <c r="AA226" i="1"/>
  <c r="AC226" i="1" s="1"/>
  <c r="AH226" i="1" l="1"/>
  <c r="AG226" i="1"/>
  <c r="AF226" i="1"/>
  <c r="AD226" i="1"/>
  <c r="AE226" i="1"/>
  <c r="Z228" i="1"/>
  <c r="AA227" i="1"/>
  <c r="AC227" i="1" s="1"/>
  <c r="AH227" i="1" l="1"/>
  <c r="AG227" i="1"/>
  <c r="AE227" i="1"/>
  <c r="AF227" i="1"/>
  <c r="AD227" i="1"/>
  <c r="Z229" i="1"/>
  <c r="AA228" i="1"/>
  <c r="AC228" i="1" s="1"/>
  <c r="AH228" i="1" l="1"/>
  <c r="AG228" i="1"/>
  <c r="AF228" i="1"/>
  <c r="AD228" i="1"/>
  <c r="AE228" i="1"/>
  <c r="Z230" i="1"/>
  <c r="AA229" i="1"/>
  <c r="AC229" i="1" s="1"/>
  <c r="AH229" i="1" l="1"/>
  <c r="AG229" i="1"/>
  <c r="AD229" i="1"/>
  <c r="AF229" i="1"/>
  <c r="AE229" i="1"/>
  <c r="Z231" i="1"/>
  <c r="AA230" i="1"/>
  <c r="AC230" i="1" s="1"/>
  <c r="AH230" i="1" l="1"/>
  <c r="AG230" i="1"/>
  <c r="AD230" i="1"/>
  <c r="AF230" i="1"/>
  <c r="AE230" i="1"/>
  <c r="Z232" i="1"/>
  <c r="AA231" i="1"/>
  <c r="AC231" i="1" s="1"/>
  <c r="AH231" i="1" l="1"/>
  <c r="AG231" i="1"/>
  <c r="AF231" i="1"/>
  <c r="AD231" i="1"/>
  <c r="AE231" i="1"/>
  <c r="Z233" i="1"/>
  <c r="AA232" i="1"/>
  <c r="AC232" i="1" s="1"/>
  <c r="AH232" i="1" l="1"/>
  <c r="AG232" i="1"/>
  <c r="AF232" i="1"/>
  <c r="AD232" i="1"/>
  <c r="AE232" i="1"/>
  <c r="Z234" i="1"/>
  <c r="AA233" i="1"/>
  <c r="AC233" i="1" s="1"/>
  <c r="AH233" i="1" l="1"/>
  <c r="AG233" i="1"/>
  <c r="AF233" i="1"/>
  <c r="AD233" i="1"/>
  <c r="AE233" i="1"/>
  <c r="Z235" i="1"/>
  <c r="AA234" i="1"/>
  <c r="AC234" i="1" s="1"/>
  <c r="AH234" i="1" l="1"/>
  <c r="AG234" i="1"/>
  <c r="AF234" i="1"/>
  <c r="AE234" i="1"/>
  <c r="AD234" i="1"/>
  <c r="Z236" i="1"/>
  <c r="AA235" i="1"/>
  <c r="AC235" i="1" s="1"/>
  <c r="AH235" i="1" l="1"/>
  <c r="AG235" i="1"/>
  <c r="AF235" i="1"/>
  <c r="AE235" i="1"/>
  <c r="AD235" i="1"/>
  <c r="Z237" i="1"/>
  <c r="AA236" i="1"/>
  <c r="AC236" i="1" s="1"/>
  <c r="AH236" i="1" l="1"/>
  <c r="AG236" i="1"/>
  <c r="Z238" i="1"/>
  <c r="AA237" i="1"/>
  <c r="AC237" i="1" s="1"/>
  <c r="AE236" i="1"/>
  <c r="AF236" i="1"/>
  <c r="AD236" i="1"/>
  <c r="AH237" i="1" l="1"/>
  <c r="AG237" i="1"/>
  <c r="AF237" i="1"/>
  <c r="AE237" i="1"/>
  <c r="AD237" i="1"/>
  <c r="Z239" i="1"/>
  <c r="AA238" i="1"/>
  <c r="AC238" i="1" s="1"/>
  <c r="AH238" i="1" l="1"/>
  <c r="AG238" i="1"/>
  <c r="AF238" i="1"/>
  <c r="AE238" i="1"/>
  <c r="AD238" i="1"/>
  <c r="Z240" i="1"/>
  <c r="AA239" i="1"/>
  <c r="AC239" i="1" s="1"/>
  <c r="AH239" i="1" l="1"/>
  <c r="AG239" i="1"/>
  <c r="AF239" i="1"/>
  <c r="AE239" i="1"/>
  <c r="AD239" i="1"/>
  <c r="Z241" i="1"/>
  <c r="AA240" i="1"/>
  <c r="AC240" i="1" s="1"/>
  <c r="AH240" i="1" l="1"/>
  <c r="AG240" i="1"/>
  <c r="Z242" i="1"/>
  <c r="AA241" i="1"/>
  <c r="AC241" i="1" s="1"/>
  <c r="AF240" i="1"/>
  <c r="AE240" i="1"/>
  <c r="AD240" i="1"/>
  <c r="AH241" i="1" l="1"/>
  <c r="AG241" i="1"/>
  <c r="AF241" i="1"/>
  <c r="AD241" i="1"/>
  <c r="AE241" i="1"/>
  <c r="Z243" i="1"/>
  <c r="AA242" i="1"/>
  <c r="AC242" i="1" s="1"/>
  <c r="AH242" i="1" l="1"/>
  <c r="AG242" i="1"/>
  <c r="Z244" i="1"/>
  <c r="AA243" i="1"/>
  <c r="AC243" i="1" s="1"/>
  <c r="AF242" i="1"/>
  <c r="AD242" i="1"/>
  <c r="AE242" i="1"/>
  <c r="AH243" i="1" l="1"/>
  <c r="AG243" i="1"/>
  <c r="AF243" i="1"/>
  <c r="AD243" i="1"/>
  <c r="AE243" i="1"/>
  <c r="Z245" i="1"/>
  <c r="AA244" i="1"/>
  <c r="AC244" i="1" s="1"/>
  <c r="AH244" i="1" l="1"/>
  <c r="AG244" i="1"/>
  <c r="AF244" i="1"/>
  <c r="AD244" i="1"/>
  <c r="AE244" i="1"/>
  <c r="Z246" i="1"/>
  <c r="AA245" i="1"/>
  <c r="AC245" i="1" s="1"/>
  <c r="AH245" i="1" l="1"/>
  <c r="AG245" i="1"/>
  <c r="AF245" i="1"/>
  <c r="AD245" i="1"/>
  <c r="AE245" i="1"/>
  <c r="Z247" i="1"/>
  <c r="AA246" i="1"/>
  <c r="AC246" i="1" s="1"/>
  <c r="AH246" i="1" l="1"/>
  <c r="AG246" i="1"/>
  <c r="AF246" i="1"/>
  <c r="AE246" i="1"/>
  <c r="AD246" i="1"/>
  <c r="Z248" i="1"/>
  <c r="AA247" i="1"/>
  <c r="AC247" i="1" s="1"/>
  <c r="AH247" i="1" l="1"/>
  <c r="AG247" i="1"/>
  <c r="AF247" i="1"/>
  <c r="AE247" i="1"/>
  <c r="AD247" i="1"/>
  <c r="Z249" i="1"/>
  <c r="AA248" i="1"/>
  <c r="AC248" i="1" s="1"/>
  <c r="AH248" i="1" l="1"/>
  <c r="AG248" i="1"/>
  <c r="AE248" i="1"/>
  <c r="AF248" i="1"/>
  <c r="AD248" i="1"/>
  <c r="Z250" i="1"/>
  <c r="AA249" i="1"/>
  <c r="AC249" i="1" s="1"/>
  <c r="AH249" i="1" l="1"/>
  <c r="AG249" i="1"/>
  <c r="AF249" i="1"/>
  <c r="AE249" i="1"/>
  <c r="AD249" i="1"/>
  <c r="Z251" i="1"/>
  <c r="AA250" i="1"/>
  <c r="AC250" i="1" s="1"/>
  <c r="AH250" i="1" l="1"/>
  <c r="AG250" i="1"/>
  <c r="AF250" i="1"/>
  <c r="AD250" i="1"/>
  <c r="AE250" i="1"/>
  <c r="Z252" i="1"/>
  <c r="AA251" i="1"/>
  <c r="AC251" i="1" s="1"/>
  <c r="AH251" i="1" l="1"/>
  <c r="AG251" i="1"/>
  <c r="AE251" i="1"/>
  <c r="AF251" i="1"/>
  <c r="AD251" i="1"/>
  <c r="Z253" i="1"/>
  <c r="AA252" i="1"/>
  <c r="AC252" i="1" s="1"/>
  <c r="AH252" i="1" l="1"/>
  <c r="AG252" i="1"/>
  <c r="AF252" i="1"/>
  <c r="AE252" i="1"/>
  <c r="AD252" i="1"/>
  <c r="Z254" i="1"/>
  <c r="AA253" i="1"/>
  <c r="AC253" i="1" s="1"/>
  <c r="AH253" i="1" l="1"/>
  <c r="AG253" i="1"/>
  <c r="Z255" i="1"/>
  <c r="AA254" i="1"/>
  <c r="AC254" i="1" s="1"/>
  <c r="AE253" i="1"/>
  <c r="AF253" i="1"/>
  <c r="AD253" i="1"/>
  <c r="AH254" i="1" l="1"/>
  <c r="AG254" i="1"/>
  <c r="AD254" i="1"/>
  <c r="AE254" i="1"/>
  <c r="AF254" i="1"/>
  <c r="Z256" i="1"/>
  <c r="AA255" i="1"/>
  <c r="AC255" i="1" s="1"/>
  <c r="AH255" i="1" l="1"/>
  <c r="AG255" i="1"/>
  <c r="AD255" i="1"/>
  <c r="AE255" i="1"/>
  <c r="AF255" i="1"/>
  <c r="Z257" i="1"/>
  <c r="AA256" i="1"/>
  <c r="AC256" i="1" s="1"/>
  <c r="AH256" i="1" l="1"/>
  <c r="AG256" i="1"/>
  <c r="AD256" i="1"/>
  <c r="AE256" i="1"/>
  <c r="AF256" i="1"/>
  <c r="Z258" i="1"/>
  <c r="AA257" i="1"/>
  <c r="AC257" i="1" s="1"/>
  <c r="AH257" i="1" l="1"/>
  <c r="AG257" i="1"/>
  <c r="AF257" i="1"/>
  <c r="AD257" i="1"/>
  <c r="AE257" i="1"/>
  <c r="Z259" i="1"/>
  <c r="AA258" i="1"/>
  <c r="AC258" i="1" s="1"/>
  <c r="AH258" i="1" l="1"/>
  <c r="AG258" i="1"/>
  <c r="AF258" i="1"/>
  <c r="AD258" i="1"/>
  <c r="AE258" i="1"/>
  <c r="Z260" i="1"/>
  <c r="AA259" i="1"/>
  <c r="AC259" i="1" s="1"/>
  <c r="AH259" i="1" l="1"/>
  <c r="AG259" i="1"/>
  <c r="AF259" i="1"/>
  <c r="AD259" i="1"/>
  <c r="AE259" i="1"/>
  <c r="Z261" i="1"/>
  <c r="AA260" i="1"/>
  <c r="AC260" i="1" s="1"/>
  <c r="AH260" i="1" l="1"/>
  <c r="AG260" i="1"/>
  <c r="AF260" i="1"/>
  <c r="AE260" i="1"/>
  <c r="AD260" i="1"/>
  <c r="Z262" i="1"/>
  <c r="AA261" i="1"/>
  <c r="AC261" i="1" s="1"/>
  <c r="AH261" i="1" l="1"/>
  <c r="AG261" i="1"/>
  <c r="AF261" i="1"/>
  <c r="AD261" i="1"/>
  <c r="AE261" i="1"/>
  <c r="Z263" i="1"/>
  <c r="AA262" i="1"/>
  <c r="AC262" i="1" s="1"/>
  <c r="AH262" i="1" l="1"/>
  <c r="AG262" i="1"/>
  <c r="AF262" i="1"/>
  <c r="AD262" i="1"/>
  <c r="AE262" i="1"/>
  <c r="Z264" i="1"/>
  <c r="AA263" i="1"/>
  <c r="AC263" i="1" s="1"/>
  <c r="AH263" i="1" l="1"/>
  <c r="AG263" i="1"/>
  <c r="AF263" i="1"/>
  <c r="AD263" i="1"/>
  <c r="AE263" i="1"/>
  <c r="Z265" i="1"/>
  <c r="AA264" i="1"/>
  <c r="AC264" i="1" s="1"/>
  <c r="AH264" i="1" l="1"/>
  <c r="AG264" i="1"/>
  <c r="AF264" i="1"/>
  <c r="AE264" i="1"/>
  <c r="AD264" i="1"/>
  <c r="Z266" i="1"/>
  <c r="AA265" i="1"/>
  <c r="AC265" i="1" s="1"/>
  <c r="AH265" i="1" l="1"/>
  <c r="AG265" i="1"/>
  <c r="AF265" i="1"/>
  <c r="AD265" i="1"/>
  <c r="AE265" i="1"/>
  <c r="Z267" i="1"/>
  <c r="AA266" i="1"/>
  <c r="AC266" i="1" s="1"/>
  <c r="AH266" i="1" l="1"/>
  <c r="AG266" i="1"/>
  <c r="Z268" i="1"/>
  <c r="AA267" i="1"/>
  <c r="AC267" i="1" s="1"/>
  <c r="AE266" i="1"/>
  <c r="AD266" i="1"/>
  <c r="AF266" i="1"/>
  <c r="AH267" i="1" l="1"/>
  <c r="AG267" i="1"/>
  <c r="Z269" i="1"/>
  <c r="AA268" i="1"/>
  <c r="AC268" i="1" s="1"/>
  <c r="AF267" i="1"/>
  <c r="AE267" i="1"/>
  <c r="AD267" i="1"/>
  <c r="AH268" i="1" l="1"/>
  <c r="AG268" i="1"/>
  <c r="AF268" i="1"/>
  <c r="AE268" i="1"/>
  <c r="AD268" i="1"/>
  <c r="Z270" i="1"/>
  <c r="AA269" i="1"/>
  <c r="AC269" i="1" s="1"/>
  <c r="AH269" i="1" l="1"/>
  <c r="AG269" i="1"/>
  <c r="AF269" i="1"/>
  <c r="AE269" i="1"/>
  <c r="AD269" i="1"/>
  <c r="Z271" i="1"/>
  <c r="AA270" i="1"/>
  <c r="AC270" i="1" s="1"/>
  <c r="AH270" i="1" l="1"/>
  <c r="AG270" i="1"/>
  <c r="Z272" i="1"/>
  <c r="AA271" i="1"/>
  <c r="AC271" i="1" s="1"/>
  <c r="AF270" i="1"/>
  <c r="AE270" i="1"/>
  <c r="AD270" i="1"/>
  <c r="AH271" i="1" l="1"/>
  <c r="AG271" i="1"/>
  <c r="AF271" i="1"/>
  <c r="AE271" i="1"/>
  <c r="AD271" i="1"/>
  <c r="Z273" i="1"/>
  <c r="AA272" i="1"/>
  <c r="AC272" i="1" s="1"/>
  <c r="AH272" i="1" l="1"/>
  <c r="AG272" i="1"/>
  <c r="AE272" i="1"/>
  <c r="AF272" i="1"/>
  <c r="AD272" i="1"/>
  <c r="Z274" i="1"/>
  <c r="AA273" i="1"/>
  <c r="AC273" i="1" s="1"/>
  <c r="AH273" i="1" l="1"/>
  <c r="AG273" i="1"/>
  <c r="Z275" i="1"/>
  <c r="AA274" i="1"/>
  <c r="AC274" i="1" s="1"/>
  <c r="AF273" i="1"/>
  <c r="AE273" i="1"/>
  <c r="AD273" i="1"/>
  <c r="AH274" i="1" l="1"/>
  <c r="AG274" i="1"/>
  <c r="AF274" i="1"/>
  <c r="AD274" i="1"/>
  <c r="AE274" i="1"/>
  <c r="Z276" i="1"/>
  <c r="AA275" i="1"/>
  <c r="AC275" i="1" s="1"/>
  <c r="AH275" i="1" l="1"/>
  <c r="AG275" i="1"/>
  <c r="AF275" i="1"/>
  <c r="AE275" i="1"/>
  <c r="AD275" i="1"/>
  <c r="Z277" i="1"/>
  <c r="AA276" i="1"/>
  <c r="AC276" i="1" s="1"/>
  <c r="AH276" i="1" l="1"/>
  <c r="AG276" i="1"/>
  <c r="Z278" i="1"/>
  <c r="AA277" i="1"/>
  <c r="AC277" i="1" s="1"/>
  <c r="AF276" i="1"/>
  <c r="AE276" i="1"/>
  <c r="AD276" i="1"/>
  <c r="AH277" i="1" l="1"/>
  <c r="AG277" i="1"/>
  <c r="AE277" i="1"/>
  <c r="AF277" i="1"/>
  <c r="AD277" i="1"/>
  <c r="Z279" i="1"/>
  <c r="AA278" i="1"/>
  <c r="AC278" i="1" s="1"/>
  <c r="AH278" i="1" l="1"/>
  <c r="AG278" i="1"/>
  <c r="AE278" i="1"/>
  <c r="AD278" i="1"/>
  <c r="AF278" i="1"/>
  <c r="Z280" i="1"/>
  <c r="AA279" i="1"/>
  <c r="AC279" i="1" s="1"/>
  <c r="AH279" i="1" l="1"/>
  <c r="AG279" i="1"/>
  <c r="Z281" i="1"/>
  <c r="AA280" i="1"/>
  <c r="AC280" i="1" s="1"/>
  <c r="AF279" i="1"/>
  <c r="AE279" i="1"/>
  <c r="AD279" i="1"/>
  <c r="AH280" i="1" l="1"/>
  <c r="AG280" i="1"/>
  <c r="AF280" i="1"/>
  <c r="AD280" i="1"/>
  <c r="AE280" i="1"/>
  <c r="Z282" i="1"/>
  <c r="AA281" i="1"/>
  <c r="AC281" i="1" s="1"/>
  <c r="AH281" i="1" l="1"/>
  <c r="AG281" i="1"/>
  <c r="AF281" i="1"/>
  <c r="AD281" i="1"/>
  <c r="AE281" i="1"/>
  <c r="Z283" i="1"/>
  <c r="AA282" i="1"/>
  <c r="AC282" i="1" s="1"/>
  <c r="AH282" i="1" l="1"/>
  <c r="AG282" i="1"/>
  <c r="Z284" i="1"/>
  <c r="AA283" i="1"/>
  <c r="AC283" i="1" s="1"/>
  <c r="AF282" i="1"/>
  <c r="AE282" i="1"/>
  <c r="AD282" i="1"/>
  <c r="AH283" i="1" l="1"/>
  <c r="AG283" i="1"/>
  <c r="AF283" i="1"/>
  <c r="AE283" i="1"/>
  <c r="AD283" i="1"/>
  <c r="Z285" i="1"/>
  <c r="AA284" i="1"/>
  <c r="AC284" i="1" s="1"/>
  <c r="AH284" i="1" l="1"/>
  <c r="AG284" i="1"/>
  <c r="AE284" i="1"/>
  <c r="AF284" i="1"/>
  <c r="AD284" i="1"/>
  <c r="Z286" i="1"/>
  <c r="AA285" i="1"/>
  <c r="AC285" i="1" s="1"/>
  <c r="AH285" i="1" l="1"/>
  <c r="AG285" i="1"/>
  <c r="AF285" i="1"/>
  <c r="AE285" i="1"/>
  <c r="AD285" i="1"/>
  <c r="Z287" i="1"/>
  <c r="AA286" i="1"/>
  <c r="AC286" i="1" s="1"/>
  <c r="AH286" i="1" l="1"/>
  <c r="AG286" i="1"/>
  <c r="AF286" i="1"/>
  <c r="AD286" i="1"/>
  <c r="AE286" i="1"/>
  <c r="Z288" i="1"/>
  <c r="AA287" i="1"/>
  <c r="AC287" i="1" s="1"/>
  <c r="AH287" i="1" l="1"/>
  <c r="AG287" i="1"/>
  <c r="AE287" i="1"/>
  <c r="AD287" i="1"/>
  <c r="AF287" i="1"/>
  <c r="Z289" i="1"/>
  <c r="AA288" i="1"/>
  <c r="AC288" i="1" s="1"/>
  <c r="AH288" i="1" l="1"/>
  <c r="AG288" i="1"/>
  <c r="AF288" i="1"/>
  <c r="AD288" i="1"/>
  <c r="AE288" i="1"/>
  <c r="Z290" i="1"/>
  <c r="AA289" i="1"/>
  <c r="AC289" i="1" s="1"/>
  <c r="AH289" i="1" l="1"/>
  <c r="AG289" i="1"/>
  <c r="AE289" i="1"/>
  <c r="AF289" i="1"/>
  <c r="AD289" i="1"/>
  <c r="Z291" i="1"/>
  <c r="AA290" i="1"/>
  <c r="AC290" i="1" s="1"/>
  <c r="AH290" i="1" l="1"/>
  <c r="AG290" i="1"/>
  <c r="AE290" i="1"/>
  <c r="AF290" i="1"/>
  <c r="AD290" i="1"/>
  <c r="Z292" i="1"/>
  <c r="AA291" i="1"/>
  <c r="AC291" i="1" s="1"/>
  <c r="AH291" i="1" l="1"/>
  <c r="AG291" i="1"/>
  <c r="AF291" i="1"/>
  <c r="AD291" i="1"/>
  <c r="AE291" i="1"/>
  <c r="Z293" i="1"/>
  <c r="AA292" i="1"/>
  <c r="AC292" i="1" s="1"/>
  <c r="AH292" i="1" l="1"/>
  <c r="AG292" i="1"/>
  <c r="AE292" i="1"/>
  <c r="AF292" i="1"/>
  <c r="AD292" i="1"/>
  <c r="Z294" i="1"/>
  <c r="AA293" i="1"/>
  <c r="AC293" i="1" s="1"/>
  <c r="AH293" i="1" l="1"/>
  <c r="AG293" i="1"/>
  <c r="AF293" i="1"/>
  <c r="AD293" i="1"/>
  <c r="AE293" i="1"/>
  <c r="Z295" i="1"/>
  <c r="AA294" i="1"/>
  <c r="AC294" i="1" s="1"/>
  <c r="AH294" i="1" l="1"/>
  <c r="AG294" i="1"/>
  <c r="AF294" i="1"/>
  <c r="AD294" i="1"/>
  <c r="AE294" i="1"/>
  <c r="Z296" i="1"/>
  <c r="AA295" i="1"/>
  <c r="AC295" i="1" s="1"/>
  <c r="AH295" i="1" l="1"/>
  <c r="AG295" i="1"/>
  <c r="AF295" i="1"/>
  <c r="AD295" i="1"/>
  <c r="AE295" i="1"/>
  <c r="Z297" i="1"/>
  <c r="AA296" i="1"/>
  <c r="AC296" i="1" s="1"/>
  <c r="AH296" i="1" l="1"/>
  <c r="AG296" i="1"/>
  <c r="AE296" i="1"/>
  <c r="AF296" i="1"/>
  <c r="AD296" i="1"/>
  <c r="Z298" i="1"/>
  <c r="AA297" i="1"/>
  <c r="AC297" i="1" s="1"/>
  <c r="AH297" i="1" l="1"/>
  <c r="AG297" i="1"/>
  <c r="AF297" i="1"/>
  <c r="AD297" i="1"/>
  <c r="AE297" i="1"/>
  <c r="Z299" i="1"/>
  <c r="AA298" i="1"/>
  <c r="AC298" i="1" s="1"/>
  <c r="AH298" i="1" l="1"/>
  <c r="AG298" i="1"/>
  <c r="AF298" i="1"/>
  <c r="AD298" i="1"/>
  <c r="AE298" i="1"/>
  <c r="Z300" i="1"/>
  <c r="AA299" i="1"/>
  <c r="AC299" i="1" s="1"/>
  <c r="AH299" i="1" l="1"/>
  <c r="AG299" i="1"/>
  <c r="AF299" i="1"/>
  <c r="AE299" i="1"/>
  <c r="AD299" i="1"/>
  <c r="Z301" i="1"/>
  <c r="AA300" i="1"/>
  <c r="AC300" i="1" s="1"/>
  <c r="AH300" i="1" l="1"/>
  <c r="AG300" i="1"/>
  <c r="AF300" i="1"/>
  <c r="AE300" i="1"/>
  <c r="AD300" i="1"/>
  <c r="Z302" i="1"/>
  <c r="AA301" i="1"/>
  <c r="AC301" i="1" s="1"/>
  <c r="AH301" i="1" l="1"/>
  <c r="AG301" i="1"/>
  <c r="Z303" i="1"/>
  <c r="AA302" i="1"/>
  <c r="AC302" i="1" s="1"/>
  <c r="AF301" i="1"/>
  <c r="AE301" i="1"/>
  <c r="AD301" i="1"/>
  <c r="AH302" i="1" l="1"/>
  <c r="AG302" i="1"/>
  <c r="AF302" i="1"/>
  <c r="AE302" i="1"/>
  <c r="AD302" i="1"/>
  <c r="Z304" i="1"/>
  <c r="AA303" i="1"/>
  <c r="AC303" i="1" s="1"/>
  <c r="AH303" i="1" l="1"/>
  <c r="AG303" i="1"/>
  <c r="AF303" i="1"/>
  <c r="AE303" i="1"/>
  <c r="AD303" i="1"/>
  <c r="Z305" i="1"/>
  <c r="AA304" i="1"/>
  <c r="AC304" i="1" s="1"/>
  <c r="AH304" i="1" l="1"/>
  <c r="AG304" i="1"/>
  <c r="AF304" i="1"/>
  <c r="AE304" i="1"/>
  <c r="AD304" i="1"/>
  <c r="Z306" i="1"/>
  <c r="AA305" i="1"/>
  <c r="AC305" i="1" s="1"/>
  <c r="AH305" i="1" l="1"/>
  <c r="AG305" i="1"/>
  <c r="AF305" i="1"/>
  <c r="AE305" i="1"/>
  <c r="AD305" i="1"/>
  <c r="Z307" i="1"/>
  <c r="AA306" i="1"/>
  <c r="AC306" i="1" s="1"/>
  <c r="AH306" i="1" l="1"/>
  <c r="AG306" i="1"/>
  <c r="Z308" i="1"/>
  <c r="AA307" i="1"/>
  <c r="AC307" i="1" s="1"/>
  <c r="AF306" i="1"/>
  <c r="AD306" i="1"/>
  <c r="AE306" i="1"/>
  <c r="AH307" i="1" l="1"/>
  <c r="AG307" i="1"/>
  <c r="AD307" i="1"/>
  <c r="AF307" i="1"/>
  <c r="AE307" i="1"/>
  <c r="Z309" i="1"/>
  <c r="AA308" i="1"/>
  <c r="AC308" i="1" s="1"/>
  <c r="AH308" i="1" l="1"/>
  <c r="AG308" i="1"/>
  <c r="AE308" i="1"/>
  <c r="AF308" i="1"/>
  <c r="AD308" i="1"/>
  <c r="Z310" i="1"/>
  <c r="AA309" i="1"/>
  <c r="AC309" i="1" s="1"/>
  <c r="AH309" i="1" l="1"/>
  <c r="AG309" i="1"/>
  <c r="AF309" i="1"/>
  <c r="AE309" i="1"/>
  <c r="AD309" i="1"/>
  <c r="Z311" i="1"/>
  <c r="AA310" i="1"/>
  <c r="AC310" i="1" s="1"/>
  <c r="AH310" i="1" l="1"/>
  <c r="AG310" i="1"/>
  <c r="Z312" i="1"/>
  <c r="AA311" i="1"/>
  <c r="AC311" i="1" s="1"/>
  <c r="AF310" i="1"/>
  <c r="AD310" i="1"/>
  <c r="AE310" i="1"/>
  <c r="AH311" i="1" l="1"/>
  <c r="AG311" i="1"/>
  <c r="AF311" i="1"/>
  <c r="AD311" i="1"/>
  <c r="AE311" i="1"/>
  <c r="Z313" i="1"/>
  <c r="AA312" i="1"/>
  <c r="AC312" i="1" s="1"/>
  <c r="AH312" i="1" l="1"/>
  <c r="AG312" i="1"/>
  <c r="AF312" i="1"/>
  <c r="AE312" i="1"/>
  <c r="AD312" i="1"/>
  <c r="Z314" i="1"/>
  <c r="AA313" i="1"/>
  <c r="AC313" i="1" s="1"/>
  <c r="AH313" i="1" l="1"/>
  <c r="AG313" i="1"/>
  <c r="AE313" i="1"/>
  <c r="AF313" i="1"/>
  <c r="AD313" i="1"/>
  <c r="Z315" i="1"/>
  <c r="AA314" i="1"/>
  <c r="AC314" i="1" s="1"/>
  <c r="AH314" i="1" l="1"/>
  <c r="AG314" i="1"/>
  <c r="Z316" i="1"/>
  <c r="AA315" i="1"/>
  <c r="AC315" i="1" s="1"/>
  <c r="AE314" i="1"/>
  <c r="AF314" i="1"/>
  <c r="AD314" i="1"/>
  <c r="AH315" i="1" l="1"/>
  <c r="AG315" i="1"/>
  <c r="AE315" i="1"/>
  <c r="AF315" i="1"/>
  <c r="AD315" i="1"/>
  <c r="Z317" i="1"/>
  <c r="AA316" i="1"/>
  <c r="AC316" i="1" s="1"/>
  <c r="AH316" i="1" l="1"/>
  <c r="AG316" i="1"/>
  <c r="AE316" i="1"/>
  <c r="AF316" i="1"/>
  <c r="AD316" i="1"/>
  <c r="Z318" i="1"/>
  <c r="AA317" i="1"/>
  <c r="AC317" i="1" s="1"/>
  <c r="AH317" i="1" l="1"/>
  <c r="AG317" i="1"/>
  <c r="AF317" i="1"/>
  <c r="AE317" i="1"/>
  <c r="AD317" i="1"/>
  <c r="Z319" i="1"/>
  <c r="AA318" i="1"/>
  <c r="AC318" i="1" s="1"/>
  <c r="AH318" i="1" l="1"/>
  <c r="AG318" i="1"/>
  <c r="AF318" i="1"/>
  <c r="AE318" i="1"/>
  <c r="AD318" i="1"/>
  <c r="Z320" i="1"/>
  <c r="AA319" i="1"/>
  <c r="AC319" i="1" s="1"/>
  <c r="AH319" i="1" l="1"/>
  <c r="AG319" i="1"/>
  <c r="AD319" i="1"/>
  <c r="AE319" i="1"/>
  <c r="AF319" i="1"/>
  <c r="Z321" i="1"/>
  <c r="AA320" i="1"/>
  <c r="AC320" i="1" s="1"/>
  <c r="AH320" i="1" l="1"/>
  <c r="AG320" i="1"/>
  <c r="AF320" i="1"/>
  <c r="AE320" i="1"/>
  <c r="AD320" i="1"/>
  <c r="Z322" i="1"/>
  <c r="AA321" i="1"/>
  <c r="AC321" i="1" s="1"/>
  <c r="AH321" i="1" l="1"/>
  <c r="AG321" i="1"/>
  <c r="AF321" i="1"/>
  <c r="AD321" i="1"/>
  <c r="AE321" i="1"/>
  <c r="Z323" i="1"/>
  <c r="AA322" i="1"/>
  <c r="AC322" i="1" s="1"/>
  <c r="AH322" i="1" l="1"/>
  <c r="AG322" i="1"/>
  <c r="AF322" i="1"/>
  <c r="AD322" i="1"/>
  <c r="AE322" i="1"/>
  <c r="Z324" i="1"/>
  <c r="AA323" i="1"/>
  <c r="AC323" i="1" s="1"/>
  <c r="AH323" i="1" l="1"/>
  <c r="AG323" i="1"/>
  <c r="AF323" i="1"/>
  <c r="AE323" i="1"/>
  <c r="AD323" i="1"/>
  <c r="Z325" i="1"/>
  <c r="AA324" i="1"/>
  <c r="AC324" i="1" s="1"/>
  <c r="AH324" i="1" l="1"/>
  <c r="AG324" i="1"/>
  <c r="AF324" i="1"/>
  <c r="AD324" i="1"/>
  <c r="AE324" i="1"/>
  <c r="Z326" i="1"/>
  <c r="AA325" i="1"/>
  <c r="AC325" i="1" s="1"/>
  <c r="AH325" i="1" l="1"/>
  <c r="AG325" i="1"/>
  <c r="AF325" i="1"/>
  <c r="AE325" i="1"/>
  <c r="AD325" i="1"/>
  <c r="Z327" i="1"/>
  <c r="AA326" i="1"/>
  <c r="AC326" i="1" s="1"/>
  <c r="AH326" i="1" l="1"/>
  <c r="AG326" i="1"/>
  <c r="Z328" i="1"/>
  <c r="AA327" i="1"/>
  <c r="AC327" i="1" s="1"/>
  <c r="AF326" i="1"/>
  <c r="AD326" i="1"/>
  <c r="AE326" i="1"/>
  <c r="AH327" i="1" l="1"/>
  <c r="AG327" i="1"/>
  <c r="AF327" i="1"/>
  <c r="AD327" i="1"/>
  <c r="AE327" i="1"/>
  <c r="Z329" i="1"/>
  <c r="AA328" i="1"/>
  <c r="AC328" i="1" s="1"/>
  <c r="AH328" i="1" l="1"/>
  <c r="AG328" i="1"/>
  <c r="AF328" i="1"/>
  <c r="AE328" i="1"/>
  <c r="AD328" i="1"/>
  <c r="Z330" i="1"/>
  <c r="AA329" i="1"/>
  <c r="AC329" i="1" s="1"/>
  <c r="AH329" i="1" l="1"/>
  <c r="AG329" i="1"/>
  <c r="AF329" i="1"/>
  <c r="AE329" i="1"/>
  <c r="AD329" i="1"/>
  <c r="Z331" i="1"/>
  <c r="AA330" i="1"/>
  <c r="AC330" i="1" s="1"/>
  <c r="AH330" i="1" l="1"/>
  <c r="AG330" i="1"/>
  <c r="AF330" i="1"/>
  <c r="AE330" i="1"/>
  <c r="AD330" i="1"/>
  <c r="Z332" i="1"/>
  <c r="AA331" i="1"/>
  <c r="AC331" i="1" s="1"/>
  <c r="AH331" i="1" l="1"/>
  <c r="AG331" i="1"/>
  <c r="AF331" i="1"/>
  <c r="AE331" i="1"/>
  <c r="AD331" i="1"/>
  <c r="Z333" i="1"/>
  <c r="AA332" i="1"/>
  <c r="AC332" i="1" s="1"/>
  <c r="AH332" i="1" l="1"/>
  <c r="AG332" i="1"/>
  <c r="AE332" i="1"/>
  <c r="AF332" i="1"/>
  <c r="AD332" i="1"/>
  <c r="Z334" i="1"/>
  <c r="AA333" i="1"/>
  <c r="AC333" i="1" s="1"/>
  <c r="AH333" i="1" l="1"/>
  <c r="AG333" i="1"/>
  <c r="AF333" i="1"/>
  <c r="AD333" i="1"/>
  <c r="AE333" i="1"/>
  <c r="Z335" i="1"/>
  <c r="AA334" i="1"/>
  <c r="AC334" i="1" s="1"/>
  <c r="AH334" i="1" l="1"/>
  <c r="AG334" i="1"/>
  <c r="AF334" i="1"/>
  <c r="AD334" i="1"/>
  <c r="AE334" i="1"/>
  <c r="Z336" i="1"/>
  <c r="AA335" i="1"/>
  <c r="AC335" i="1" s="1"/>
  <c r="AH335" i="1" l="1"/>
  <c r="AG335" i="1"/>
  <c r="AD335" i="1"/>
  <c r="AE335" i="1"/>
  <c r="AF335" i="1"/>
  <c r="Z337" i="1"/>
  <c r="AA336" i="1"/>
  <c r="AC336" i="1" s="1"/>
  <c r="AH336" i="1" l="1"/>
  <c r="AG336" i="1"/>
  <c r="AF336" i="1"/>
  <c r="AE336" i="1"/>
  <c r="AD336" i="1"/>
  <c r="Z338" i="1"/>
  <c r="AA337" i="1"/>
  <c r="AC337" i="1" s="1"/>
  <c r="AH337" i="1" l="1"/>
  <c r="AG337" i="1"/>
  <c r="AD337" i="1"/>
  <c r="AE337" i="1"/>
  <c r="AF337" i="1"/>
  <c r="Z339" i="1"/>
  <c r="AA338" i="1"/>
  <c r="AC338" i="1" s="1"/>
  <c r="AH338" i="1" l="1"/>
  <c r="AG338" i="1"/>
  <c r="AF338" i="1"/>
  <c r="AE338" i="1"/>
  <c r="AD338" i="1"/>
  <c r="Z340" i="1"/>
  <c r="AA339" i="1"/>
  <c r="AC339" i="1" s="1"/>
  <c r="AH339" i="1" l="1"/>
  <c r="AG339" i="1"/>
  <c r="AF339" i="1"/>
  <c r="AE339" i="1"/>
  <c r="AD339" i="1"/>
  <c r="Z341" i="1"/>
  <c r="AA340" i="1"/>
  <c r="AC340" i="1" s="1"/>
  <c r="AH340" i="1" l="1"/>
  <c r="AG340" i="1"/>
  <c r="AF340" i="1"/>
  <c r="AE340" i="1"/>
  <c r="AD340" i="1"/>
  <c r="Z342" i="1"/>
  <c r="AA341" i="1"/>
  <c r="AC341" i="1" s="1"/>
  <c r="AH341" i="1" l="1"/>
  <c r="AG341" i="1"/>
  <c r="AF341" i="1"/>
  <c r="AE341" i="1"/>
  <c r="AD341" i="1"/>
  <c r="Z343" i="1"/>
  <c r="AA342" i="1"/>
  <c r="AC342" i="1" s="1"/>
  <c r="AH342" i="1" l="1"/>
  <c r="AG342" i="1"/>
  <c r="AF342" i="1"/>
  <c r="AE342" i="1"/>
  <c r="AD342" i="1"/>
  <c r="Z344" i="1"/>
  <c r="AA343" i="1"/>
  <c r="AC343" i="1" s="1"/>
  <c r="AH343" i="1" l="1"/>
  <c r="AG343" i="1"/>
  <c r="Z345" i="1"/>
  <c r="AA344" i="1"/>
  <c r="AC344" i="1" s="1"/>
  <c r="AF343" i="1"/>
  <c r="AE343" i="1"/>
  <c r="AD343" i="1"/>
  <c r="AH344" i="1" l="1"/>
  <c r="AG344" i="1"/>
  <c r="AE344" i="1"/>
  <c r="AF344" i="1"/>
  <c r="AD344" i="1"/>
  <c r="Z346" i="1"/>
  <c r="AA345" i="1"/>
  <c r="AC345" i="1" s="1"/>
  <c r="AH345" i="1" l="1"/>
  <c r="AG345" i="1"/>
  <c r="AF345" i="1"/>
  <c r="AE345" i="1"/>
  <c r="AD345" i="1"/>
  <c r="Z347" i="1"/>
  <c r="AA346" i="1"/>
  <c r="AC346" i="1" s="1"/>
  <c r="AH346" i="1" l="1"/>
  <c r="AG346" i="1"/>
  <c r="AF346" i="1"/>
  <c r="AD346" i="1"/>
  <c r="AE346" i="1"/>
  <c r="Z348" i="1"/>
  <c r="AA347" i="1"/>
  <c r="AC347" i="1" s="1"/>
  <c r="AH347" i="1" l="1"/>
  <c r="AG347" i="1"/>
  <c r="AF347" i="1"/>
  <c r="AE347" i="1"/>
  <c r="AD347" i="1"/>
  <c r="Z349" i="1"/>
  <c r="AA348" i="1"/>
  <c r="AC348" i="1" s="1"/>
  <c r="AH348" i="1" l="1"/>
  <c r="AG348" i="1"/>
  <c r="AF348" i="1"/>
  <c r="AE348" i="1"/>
  <c r="AD348" i="1"/>
  <c r="Z350" i="1"/>
  <c r="AA349" i="1"/>
  <c r="AC349" i="1" s="1"/>
  <c r="AH349" i="1" l="1"/>
  <c r="AG349" i="1"/>
  <c r="AF349" i="1"/>
  <c r="AE349" i="1"/>
  <c r="AD349" i="1"/>
  <c r="Z351" i="1"/>
  <c r="AA350" i="1"/>
  <c r="AC350" i="1" s="1"/>
  <c r="AH350" i="1" l="1"/>
  <c r="AG350" i="1"/>
  <c r="AF350" i="1"/>
  <c r="AE350" i="1"/>
  <c r="AD350" i="1"/>
  <c r="Z352" i="1"/>
  <c r="AA351" i="1"/>
  <c r="AC351" i="1" s="1"/>
  <c r="AH351" i="1" l="1"/>
  <c r="AG351" i="1"/>
  <c r="Z353" i="1"/>
  <c r="AA352" i="1"/>
  <c r="AC352" i="1" s="1"/>
  <c r="AF351" i="1"/>
  <c r="AD351" i="1"/>
  <c r="AE351" i="1"/>
  <c r="AH352" i="1" l="1"/>
  <c r="AG352" i="1"/>
  <c r="AF352" i="1"/>
  <c r="AE352" i="1"/>
  <c r="AD352" i="1"/>
  <c r="Z354" i="1"/>
  <c r="AA353" i="1"/>
  <c r="AC353" i="1" s="1"/>
  <c r="AH353" i="1" l="1"/>
  <c r="AG353" i="1"/>
  <c r="AF353" i="1"/>
  <c r="AD353" i="1"/>
  <c r="AE353" i="1"/>
  <c r="Z355" i="1"/>
  <c r="AA354" i="1"/>
  <c r="AC354" i="1" s="1"/>
  <c r="AH354" i="1" l="1"/>
  <c r="AG354" i="1"/>
  <c r="AF354" i="1"/>
  <c r="AE354" i="1"/>
  <c r="AD354" i="1"/>
  <c r="Z356" i="1"/>
  <c r="AA355" i="1"/>
  <c r="AC355" i="1" s="1"/>
  <c r="AH355" i="1" l="1"/>
  <c r="AG355" i="1"/>
  <c r="AE355" i="1"/>
  <c r="AD355" i="1"/>
  <c r="AF355" i="1"/>
  <c r="Z357" i="1"/>
  <c r="AA356" i="1"/>
  <c r="AC356" i="1" s="1"/>
  <c r="AH356" i="1" l="1"/>
  <c r="AG356" i="1"/>
  <c r="AE356" i="1"/>
  <c r="AF356" i="1"/>
  <c r="AD356" i="1"/>
  <c r="Z358" i="1"/>
  <c r="AA357" i="1"/>
  <c r="AC357" i="1" s="1"/>
  <c r="AH357" i="1" l="1"/>
  <c r="AG357" i="1"/>
  <c r="AF357" i="1"/>
  <c r="AD357" i="1"/>
  <c r="AE357" i="1"/>
  <c r="Z359" i="1"/>
  <c r="AA358" i="1"/>
  <c r="AC358" i="1" s="1"/>
  <c r="AH358" i="1" l="1"/>
  <c r="AG358" i="1"/>
  <c r="AF358" i="1"/>
  <c r="AD358" i="1"/>
  <c r="AE358" i="1"/>
  <c r="Z360" i="1"/>
  <c r="AA359" i="1"/>
  <c r="AC359" i="1" s="1"/>
  <c r="AH359" i="1" l="1"/>
  <c r="AG359" i="1"/>
  <c r="AD359" i="1"/>
  <c r="AF359" i="1"/>
  <c r="AE359" i="1"/>
  <c r="Z361" i="1"/>
  <c r="AA360" i="1"/>
  <c r="AC360" i="1" s="1"/>
  <c r="AH360" i="1" l="1"/>
  <c r="AG360" i="1"/>
  <c r="Z362" i="1"/>
  <c r="AA361" i="1"/>
  <c r="AC361" i="1" s="1"/>
  <c r="AF360" i="1"/>
  <c r="AD360" i="1"/>
  <c r="AE360" i="1"/>
  <c r="AH361" i="1" l="1"/>
  <c r="AG361" i="1"/>
  <c r="AF361" i="1"/>
  <c r="AE361" i="1"/>
  <c r="AD361" i="1"/>
  <c r="Z363" i="1"/>
  <c r="AA362" i="1"/>
  <c r="AC362" i="1" s="1"/>
  <c r="AH362" i="1" l="1"/>
  <c r="AG362" i="1"/>
  <c r="AF362" i="1"/>
  <c r="AE362" i="1"/>
  <c r="AD362" i="1"/>
  <c r="Z364" i="1"/>
  <c r="AA363" i="1"/>
  <c r="AC363" i="1" s="1"/>
  <c r="AH363" i="1" l="1"/>
  <c r="AG363" i="1"/>
  <c r="AF363" i="1"/>
  <c r="AE363" i="1"/>
  <c r="AD363" i="1"/>
  <c r="Z365" i="1"/>
  <c r="AA364" i="1"/>
  <c r="AC364" i="1" s="1"/>
  <c r="AH364" i="1" l="1"/>
  <c r="AG364" i="1"/>
  <c r="Z366" i="1"/>
  <c r="AA365" i="1"/>
  <c r="AC365" i="1" s="1"/>
  <c r="AF364" i="1"/>
  <c r="AE364" i="1"/>
  <c r="AD364" i="1"/>
  <c r="AH365" i="1" l="1"/>
  <c r="AG365" i="1"/>
  <c r="AF365" i="1"/>
  <c r="AE365" i="1"/>
  <c r="AD365" i="1"/>
  <c r="Z367" i="1"/>
  <c r="AA366" i="1"/>
  <c r="AC366" i="1" s="1"/>
  <c r="AH366" i="1" l="1"/>
  <c r="AG366" i="1"/>
  <c r="AF366" i="1"/>
  <c r="AE366" i="1"/>
  <c r="AD366" i="1"/>
  <c r="Z368" i="1"/>
  <c r="AA367" i="1"/>
  <c r="AC367" i="1" s="1"/>
  <c r="AH367" i="1" l="1"/>
  <c r="AG367" i="1"/>
  <c r="AF367" i="1"/>
  <c r="AE367" i="1"/>
  <c r="AD367" i="1"/>
  <c r="Z369" i="1"/>
  <c r="AA368" i="1"/>
  <c r="AC368" i="1" s="1"/>
  <c r="AH368" i="1" l="1"/>
  <c r="AG368" i="1"/>
  <c r="AE368" i="1"/>
  <c r="AF368" i="1"/>
  <c r="AD368" i="1"/>
  <c r="Z370" i="1"/>
  <c r="AA369" i="1"/>
  <c r="AC369" i="1" s="1"/>
  <c r="AH369" i="1" l="1"/>
  <c r="AG369" i="1"/>
  <c r="AF369" i="1"/>
  <c r="AE369" i="1"/>
  <c r="AD369" i="1"/>
  <c r="Z371" i="1"/>
  <c r="AA370" i="1"/>
  <c r="AC370" i="1" s="1"/>
  <c r="AH370" i="1" l="1"/>
  <c r="AG370" i="1"/>
  <c r="AF370" i="1"/>
  <c r="AD370" i="1"/>
  <c r="AE370" i="1"/>
  <c r="Z372" i="1"/>
  <c r="AA371" i="1"/>
  <c r="AC371" i="1" s="1"/>
  <c r="AH371" i="1" l="1"/>
  <c r="AG371" i="1"/>
  <c r="AE371" i="1"/>
  <c r="AF371" i="1"/>
  <c r="AD371" i="1"/>
  <c r="Z373" i="1"/>
  <c r="AA372" i="1"/>
  <c r="AC372" i="1" s="1"/>
  <c r="AH372" i="1" l="1"/>
  <c r="AG372" i="1"/>
  <c r="Z374" i="1"/>
  <c r="AA373" i="1"/>
  <c r="AC373" i="1" s="1"/>
  <c r="AF372" i="1"/>
  <c r="AD372" i="1"/>
  <c r="AE372" i="1"/>
  <c r="AH373" i="1" l="1"/>
  <c r="AG373" i="1"/>
  <c r="AF373" i="1"/>
  <c r="AD373" i="1"/>
  <c r="AE373" i="1"/>
  <c r="Z375" i="1"/>
  <c r="AA374" i="1"/>
  <c r="AC374" i="1" s="1"/>
  <c r="AH374" i="1" l="1"/>
  <c r="AG374" i="1"/>
  <c r="AD374" i="1"/>
  <c r="AE374" i="1"/>
  <c r="AF374" i="1"/>
  <c r="Z376" i="1"/>
  <c r="AA375" i="1"/>
  <c r="AC375" i="1" s="1"/>
  <c r="AH375" i="1" l="1"/>
  <c r="AG375" i="1"/>
  <c r="AE375" i="1"/>
  <c r="AF375" i="1"/>
  <c r="AD375" i="1"/>
  <c r="Z377" i="1"/>
  <c r="AA376" i="1"/>
  <c r="AC376" i="1" s="1"/>
  <c r="AH376" i="1" l="1"/>
  <c r="AG376" i="1"/>
  <c r="AE376" i="1"/>
  <c r="AD376" i="1"/>
  <c r="AF376" i="1"/>
  <c r="Z378" i="1"/>
  <c r="AA377" i="1"/>
  <c r="AC377" i="1" s="1"/>
  <c r="AH377" i="1" l="1"/>
  <c r="AG377" i="1"/>
  <c r="AF377" i="1"/>
  <c r="AE377" i="1"/>
  <c r="AD377" i="1"/>
  <c r="Z379" i="1"/>
  <c r="AA378" i="1"/>
  <c r="AC378" i="1" s="1"/>
  <c r="AH378" i="1" l="1"/>
  <c r="AG378" i="1"/>
  <c r="Z380" i="1"/>
  <c r="AA379" i="1"/>
  <c r="AC379" i="1" s="1"/>
  <c r="AF378" i="1"/>
  <c r="AE378" i="1"/>
  <c r="AD378" i="1"/>
  <c r="AH379" i="1" l="1"/>
  <c r="AG379" i="1"/>
  <c r="AF379" i="1"/>
  <c r="AE379" i="1"/>
  <c r="AD379" i="1"/>
  <c r="Z381" i="1"/>
  <c r="AA380" i="1"/>
  <c r="AC380" i="1" s="1"/>
  <c r="AH380" i="1" l="1"/>
  <c r="AG380" i="1"/>
  <c r="AE380" i="1"/>
  <c r="AF380" i="1"/>
  <c r="AD380" i="1"/>
  <c r="Z382" i="1"/>
  <c r="AA381" i="1"/>
  <c r="AC381" i="1" s="1"/>
  <c r="AH381" i="1" l="1"/>
  <c r="AG381" i="1"/>
  <c r="AF381" i="1"/>
  <c r="AE381" i="1"/>
  <c r="AD381" i="1"/>
  <c r="Z383" i="1"/>
  <c r="AA382" i="1"/>
  <c r="AC382" i="1" s="1"/>
  <c r="AH382" i="1" l="1"/>
  <c r="AG382" i="1"/>
  <c r="AF382" i="1"/>
  <c r="AE382" i="1"/>
  <c r="AD382" i="1"/>
  <c r="Z384" i="1"/>
  <c r="AA383" i="1"/>
  <c r="AC383" i="1" s="1"/>
  <c r="AH383" i="1" l="1"/>
  <c r="AG383" i="1"/>
  <c r="AF383" i="1"/>
  <c r="AD383" i="1"/>
  <c r="AE383" i="1"/>
  <c r="Z385" i="1"/>
  <c r="AA384" i="1"/>
  <c r="AC384" i="1" s="1"/>
  <c r="AH384" i="1" l="1"/>
  <c r="AG384" i="1"/>
  <c r="AF384" i="1"/>
  <c r="AE384" i="1"/>
  <c r="AD384" i="1"/>
  <c r="Z386" i="1"/>
  <c r="AA385" i="1"/>
  <c r="AC385" i="1" s="1"/>
  <c r="AH385" i="1" l="1"/>
  <c r="AG385" i="1"/>
  <c r="AF385" i="1"/>
  <c r="AD385" i="1"/>
  <c r="AE385" i="1"/>
  <c r="Z387" i="1"/>
  <c r="AA386" i="1"/>
  <c r="AC386" i="1" s="1"/>
  <c r="AH386" i="1" l="1"/>
  <c r="AG386" i="1"/>
  <c r="Z388" i="1"/>
  <c r="AA387" i="1"/>
  <c r="AC387" i="1" s="1"/>
  <c r="AF386" i="1"/>
  <c r="AD386" i="1"/>
  <c r="AE386" i="1"/>
  <c r="AH387" i="1" l="1"/>
  <c r="AG387" i="1"/>
  <c r="AF387" i="1"/>
  <c r="AE387" i="1"/>
  <c r="AD387" i="1"/>
  <c r="Z389" i="1"/>
  <c r="AA388" i="1"/>
  <c r="AC388" i="1" s="1"/>
  <c r="AH388" i="1" l="1"/>
  <c r="AG388" i="1"/>
  <c r="AF388" i="1"/>
  <c r="AD388" i="1"/>
  <c r="AE388" i="1"/>
  <c r="Z390" i="1"/>
  <c r="AA389" i="1"/>
  <c r="AC389" i="1" s="1"/>
  <c r="AH389" i="1" l="1"/>
  <c r="AG389" i="1"/>
  <c r="AF389" i="1"/>
  <c r="AD389" i="1"/>
  <c r="AE389" i="1"/>
  <c r="Z391" i="1"/>
  <c r="AA390" i="1"/>
  <c r="AC390" i="1" s="1"/>
  <c r="AH390" i="1" l="1"/>
  <c r="AG390" i="1"/>
  <c r="AF390" i="1"/>
  <c r="AD390" i="1"/>
  <c r="AE390" i="1"/>
  <c r="Z392" i="1"/>
  <c r="AA391" i="1"/>
  <c r="AC391" i="1" s="1"/>
  <c r="AH391" i="1" l="1"/>
  <c r="AG391" i="1"/>
  <c r="AF391" i="1"/>
  <c r="AE391" i="1"/>
  <c r="AD391" i="1"/>
  <c r="Z393" i="1"/>
  <c r="AA392" i="1"/>
  <c r="AC392" i="1" s="1"/>
  <c r="AH392" i="1" l="1"/>
  <c r="AG392" i="1"/>
  <c r="AE392" i="1"/>
  <c r="AF392" i="1"/>
  <c r="AD392" i="1"/>
  <c r="Z394" i="1"/>
  <c r="AA393" i="1"/>
  <c r="AC393" i="1" s="1"/>
  <c r="AH393" i="1" l="1"/>
  <c r="AG393" i="1"/>
  <c r="AF393" i="1"/>
  <c r="AE393" i="1"/>
  <c r="AD393" i="1"/>
  <c r="Z395" i="1"/>
  <c r="AA394" i="1"/>
  <c r="AC394" i="1" s="1"/>
  <c r="AH394" i="1" l="1"/>
  <c r="AG394" i="1"/>
  <c r="AF394" i="1"/>
  <c r="AE394" i="1"/>
  <c r="AD394" i="1"/>
  <c r="Z396" i="1"/>
  <c r="AA395" i="1"/>
  <c r="AC395" i="1" s="1"/>
  <c r="AH395" i="1" l="1"/>
  <c r="AG395" i="1"/>
  <c r="AE395" i="1"/>
  <c r="AF395" i="1"/>
  <c r="AD395" i="1"/>
  <c r="Z397" i="1"/>
  <c r="AA396" i="1"/>
  <c r="AC396" i="1" s="1"/>
  <c r="AH396" i="1" l="1"/>
  <c r="AG396" i="1"/>
  <c r="AF396" i="1"/>
  <c r="AD396" i="1"/>
  <c r="AE396" i="1"/>
  <c r="Z398" i="1"/>
  <c r="AA397" i="1"/>
  <c r="AC397" i="1" s="1"/>
  <c r="AH397" i="1" l="1"/>
  <c r="AG397" i="1"/>
  <c r="AE397" i="1"/>
  <c r="AD397" i="1"/>
  <c r="AF397" i="1"/>
  <c r="Z399" i="1"/>
  <c r="AA398" i="1"/>
  <c r="AC398" i="1" s="1"/>
  <c r="AH398" i="1" l="1"/>
  <c r="AG398" i="1"/>
  <c r="AD398" i="1"/>
  <c r="AE398" i="1"/>
  <c r="AF398" i="1"/>
  <c r="Z400" i="1"/>
  <c r="AA399" i="1"/>
  <c r="AC399" i="1" s="1"/>
  <c r="AH399" i="1" l="1"/>
  <c r="AG399" i="1"/>
  <c r="AF399" i="1"/>
  <c r="AE399" i="1"/>
  <c r="AD399" i="1"/>
  <c r="Z401" i="1"/>
  <c r="AA400" i="1"/>
  <c r="AC400" i="1" s="1"/>
  <c r="AH400" i="1" l="1"/>
  <c r="AG400" i="1"/>
  <c r="Z402" i="1"/>
  <c r="AA401" i="1"/>
  <c r="AC401" i="1" s="1"/>
  <c r="AD400" i="1"/>
  <c r="AF400" i="1"/>
  <c r="AE400" i="1"/>
  <c r="AH401" i="1" l="1"/>
  <c r="AG401" i="1"/>
  <c r="AF401" i="1"/>
  <c r="AE401" i="1"/>
  <c r="AD401" i="1"/>
  <c r="Z403" i="1"/>
  <c r="AA402" i="1"/>
  <c r="AC402" i="1" s="1"/>
  <c r="AH402" i="1" l="1"/>
  <c r="AG402" i="1"/>
  <c r="AF402" i="1"/>
  <c r="AE402" i="1"/>
  <c r="AD402" i="1"/>
  <c r="Z404" i="1"/>
  <c r="AA403" i="1"/>
  <c r="AC403" i="1" s="1"/>
  <c r="AH403" i="1" l="1"/>
  <c r="AG403" i="1"/>
  <c r="AF403" i="1"/>
  <c r="AE403" i="1"/>
  <c r="AD403" i="1"/>
  <c r="Z405" i="1"/>
  <c r="AA404" i="1"/>
  <c r="AC404" i="1" s="1"/>
  <c r="AH404" i="1" l="1"/>
  <c r="AG404" i="1"/>
  <c r="AF404" i="1"/>
  <c r="AE404" i="1"/>
  <c r="AD404" i="1"/>
  <c r="Z406" i="1"/>
  <c r="AA405" i="1"/>
  <c r="AC405" i="1" s="1"/>
  <c r="AH405" i="1" l="1"/>
  <c r="AG405" i="1"/>
  <c r="AF405" i="1"/>
  <c r="AE405" i="1"/>
  <c r="AD405" i="1"/>
  <c r="Z407" i="1"/>
  <c r="AA406" i="1"/>
  <c r="AC406" i="1" s="1"/>
  <c r="AH406" i="1" l="1"/>
  <c r="AG406" i="1"/>
  <c r="AF406" i="1"/>
  <c r="AD406" i="1"/>
  <c r="AE406" i="1"/>
  <c r="Z408" i="1"/>
  <c r="AA407" i="1"/>
  <c r="AC407" i="1" s="1"/>
  <c r="AH407" i="1" l="1"/>
  <c r="AG407" i="1"/>
  <c r="AF407" i="1"/>
  <c r="AE407" i="1"/>
  <c r="AD407" i="1"/>
  <c r="Z409" i="1"/>
  <c r="AA408" i="1"/>
  <c r="AC408" i="1" s="1"/>
  <c r="AH408" i="1" l="1"/>
  <c r="AG408" i="1"/>
  <c r="AF408" i="1"/>
  <c r="AE408" i="1"/>
  <c r="AD408" i="1"/>
  <c r="Z410" i="1"/>
  <c r="AA409" i="1"/>
  <c r="AC409" i="1" s="1"/>
  <c r="AH409" i="1" l="1"/>
  <c r="AG409" i="1"/>
  <c r="AF409" i="1"/>
  <c r="AE409" i="1"/>
  <c r="AD409" i="1"/>
  <c r="Z411" i="1"/>
  <c r="AA410" i="1"/>
  <c r="AC410" i="1" s="1"/>
  <c r="AH410" i="1" l="1"/>
  <c r="AG410" i="1"/>
  <c r="AE410" i="1"/>
  <c r="AD410" i="1"/>
  <c r="AF410" i="1"/>
  <c r="Z412" i="1"/>
  <c r="AA411" i="1"/>
  <c r="AC411" i="1" s="1"/>
  <c r="AH411" i="1" l="1"/>
  <c r="AG411" i="1"/>
  <c r="AE411" i="1"/>
  <c r="AF411" i="1"/>
  <c r="AD411" i="1"/>
  <c r="Z413" i="1"/>
  <c r="AA412" i="1"/>
  <c r="AC412" i="1" s="1"/>
  <c r="AH412" i="1" l="1"/>
  <c r="AG412" i="1"/>
  <c r="AE412" i="1"/>
  <c r="AD412" i="1"/>
  <c r="AF412" i="1"/>
  <c r="Z414" i="1"/>
  <c r="AA413" i="1"/>
  <c r="AC413" i="1" s="1"/>
  <c r="AH413" i="1" l="1"/>
  <c r="AG413" i="1"/>
  <c r="AF413" i="1"/>
  <c r="AE413" i="1"/>
  <c r="AD413" i="1"/>
  <c r="Z415" i="1"/>
  <c r="AA414" i="1"/>
  <c r="AC414" i="1" s="1"/>
  <c r="AH414" i="1" l="1"/>
  <c r="AG414" i="1"/>
  <c r="AF414" i="1"/>
  <c r="AD414" i="1"/>
  <c r="AE414" i="1"/>
  <c r="Z416" i="1"/>
  <c r="AA415" i="1"/>
  <c r="AC415" i="1" s="1"/>
  <c r="AH415" i="1" l="1"/>
  <c r="AG415" i="1"/>
  <c r="AF415" i="1"/>
  <c r="AD415" i="1"/>
  <c r="AE415" i="1"/>
  <c r="Z417" i="1"/>
  <c r="AA416" i="1"/>
  <c r="AC416" i="1" s="1"/>
  <c r="AH416" i="1" l="1"/>
  <c r="AG416" i="1"/>
  <c r="AE416" i="1"/>
  <c r="AF416" i="1"/>
  <c r="AD416" i="1"/>
  <c r="Z418" i="1"/>
  <c r="AA417" i="1"/>
  <c r="AC417" i="1" s="1"/>
  <c r="AH417" i="1" l="1"/>
  <c r="AG417" i="1"/>
  <c r="AF417" i="1"/>
  <c r="AE417" i="1"/>
  <c r="AD417" i="1"/>
  <c r="Z419" i="1"/>
  <c r="AA418" i="1"/>
  <c r="AC418" i="1" s="1"/>
  <c r="AH418" i="1" l="1"/>
  <c r="AG418" i="1"/>
  <c r="AF418" i="1"/>
  <c r="AD418" i="1"/>
  <c r="AE418" i="1"/>
  <c r="Z420" i="1"/>
  <c r="AA419" i="1"/>
  <c r="AC419" i="1" s="1"/>
  <c r="AH419" i="1" l="1"/>
  <c r="AG419" i="1"/>
  <c r="AF419" i="1"/>
  <c r="AD419" i="1"/>
  <c r="AE419" i="1"/>
  <c r="Z421" i="1"/>
  <c r="AA420" i="1"/>
  <c r="AC420" i="1" s="1"/>
  <c r="AH420" i="1" l="1"/>
  <c r="AG420" i="1"/>
  <c r="AF420" i="1"/>
  <c r="AD420" i="1"/>
  <c r="AE420" i="1"/>
  <c r="Z422" i="1"/>
  <c r="AA421" i="1"/>
  <c r="AC421" i="1" s="1"/>
  <c r="AH421" i="1" l="1"/>
  <c r="AG421" i="1"/>
  <c r="AE421" i="1"/>
  <c r="AF421" i="1"/>
  <c r="AD421" i="1"/>
  <c r="Z423" i="1"/>
  <c r="AA422" i="1"/>
  <c r="AC422" i="1" s="1"/>
  <c r="AH422" i="1" l="1"/>
  <c r="AG422" i="1"/>
  <c r="AF422" i="1"/>
  <c r="AD422" i="1"/>
  <c r="AE422" i="1"/>
  <c r="Z424" i="1"/>
  <c r="AA423" i="1"/>
  <c r="AC423" i="1" s="1"/>
  <c r="AH423" i="1" l="1"/>
  <c r="AG423" i="1"/>
  <c r="AF423" i="1"/>
  <c r="AE423" i="1"/>
  <c r="AD423" i="1"/>
  <c r="Z425" i="1"/>
  <c r="AA424" i="1"/>
  <c r="AC424" i="1" s="1"/>
  <c r="AH424" i="1" l="1"/>
  <c r="AG424" i="1"/>
  <c r="AF424" i="1"/>
  <c r="AE424" i="1"/>
  <c r="AD424" i="1"/>
  <c r="Z426" i="1"/>
  <c r="AA425" i="1"/>
  <c r="AC425" i="1" s="1"/>
  <c r="AH425" i="1" l="1"/>
  <c r="AG425" i="1"/>
  <c r="AF425" i="1"/>
  <c r="AE425" i="1"/>
  <c r="AD425" i="1"/>
  <c r="Z427" i="1"/>
  <c r="AA426" i="1"/>
  <c r="AC426" i="1" s="1"/>
  <c r="AH426" i="1" l="1"/>
  <c r="AG426" i="1"/>
  <c r="AF426" i="1"/>
  <c r="AE426" i="1"/>
  <c r="AD426" i="1"/>
  <c r="Z428" i="1"/>
  <c r="AA427" i="1"/>
  <c r="AC427" i="1" s="1"/>
  <c r="AH427" i="1" l="1"/>
  <c r="AG427" i="1"/>
  <c r="AF427" i="1"/>
  <c r="AE427" i="1"/>
  <c r="AD427" i="1"/>
  <c r="Z429" i="1"/>
  <c r="AA428" i="1"/>
  <c r="AC428" i="1" s="1"/>
  <c r="AH428" i="1" l="1"/>
  <c r="AG428" i="1"/>
  <c r="AE428" i="1"/>
  <c r="AF428" i="1"/>
  <c r="AD428" i="1"/>
  <c r="Z430" i="1"/>
  <c r="AA429" i="1"/>
  <c r="AC429" i="1" s="1"/>
  <c r="AH429" i="1" l="1"/>
  <c r="AG429" i="1"/>
  <c r="AF429" i="1"/>
  <c r="AD429" i="1"/>
  <c r="AE429" i="1"/>
  <c r="Z431" i="1"/>
  <c r="AA430" i="1"/>
  <c r="AC430" i="1" s="1"/>
  <c r="AH430" i="1" l="1"/>
  <c r="AG430" i="1"/>
  <c r="AF430" i="1"/>
  <c r="AE430" i="1"/>
  <c r="AD430" i="1"/>
  <c r="Z432" i="1"/>
  <c r="AA431" i="1"/>
  <c r="AC431" i="1" s="1"/>
  <c r="AH431" i="1" l="1"/>
  <c r="AG431" i="1"/>
  <c r="AF431" i="1"/>
  <c r="AE431" i="1"/>
  <c r="AD431" i="1"/>
  <c r="Z433" i="1"/>
  <c r="AA432" i="1"/>
  <c r="AC432" i="1" s="1"/>
  <c r="AH432" i="1" l="1"/>
  <c r="AG432" i="1"/>
  <c r="AF432" i="1"/>
  <c r="AD432" i="1"/>
  <c r="AE432" i="1"/>
  <c r="Z434" i="1"/>
  <c r="AA433" i="1"/>
  <c r="AC433" i="1" s="1"/>
  <c r="AH433" i="1" l="1"/>
  <c r="AG433" i="1"/>
  <c r="AD433" i="1"/>
  <c r="AF433" i="1"/>
  <c r="AE433" i="1"/>
  <c r="Z435" i="1"/>
  <c r="AA434" i="1"/>
  <c r="AC434" i="1" s="1"/>
  <c r="AH434" i="1" l="1"/>
  <c r="AG434" i="1"/>
  <c r="AE434" i="1"/>
  <c r="AF434" i="1"/>
  <c r="AD434" i="1"/>
  <c r="Z436" i="1"/>
  <c r="AA435" i="1"/>
  <c r="AC435" i="1" s="1"/>
  <c r="AH435" i="1" l="1"/>
  <c r="AG435" i="1"/>
  <c r="Z437" i="1"/>
  <c r="AA436" i="1"/>
  <c r="AC436" i="1" s="1"/>
  <c r="AF435" i="1"/>
  <c r="AE435" i="1"/>
  <c r="AD435" i="1"/>
  <c r="AH436" i="1" l="1"/>
  <c r="AG436" i="1"/>
  <c r="Z438" i="1"/>
  <c r="AA437" i="1"/>
  <c r="AC437" i="1" s="1"/>
  <c r="AF436" i="1"/>
  <c r="AD436" i="1"/>
  <c r="AE436" i="1"/>
  <c r="AH437" i="1" l="1"/>
  <c r="AG437" i="1"/>
  <c r="AF437" i="1"/>
  <c r="AE437" i="1"/>
  <c r="AD437" i="1"/>
  <c r="Z439" i="1"/>
  <c r="AA438" i="1"/>
  <c r="AC438" i="1" s="1"/>
  <c r="AH438" i="1" l="1"/>
  <c r="AG438" i="1"/>
  <c r="Z440" i="1"/>
  <c r="AA439" i="1"/>
  <c r="AC439" i="1" s="1"/>
  <c r="AF438" i="1"/>
  <c r="AE438" i="1"/>
  <c r="AD438" i="1"/>
  <c r="AH439" i="1" l="1"/>
  <c r="AG439" i="1"/>
  <c r="AE439" i="1"/>
  <c r="AD439" i="1"/>
  <c r="AF439" i="1"/>
  <c r="Z441" i="1"/>
  <c r="AA440" i="1"/>
  <c r="AC440" i="1" s="1"/>
  <c r="AH440" i="1" l="1"/>
  <c r="AG440" i="1"/>
  <c r="Z442" i="1"/>
  <c r="AA441" i="1"/>
  <c r="AC441" i="1" s="1"/>
  <c r="AE440" i="1"/>
  <c r="AF440" i="1"/>
  <c r="AD440" i="1"/>
  <c r="AH441" i="1" l="1"/>
  <c r="AG441" i="1"/>
  <c r="AF441" i="1"/>
  <c r="AE441" i="1"/>
  <c r="AD441" i="1"/>
  <c r="Z443" i="1"/>
  <c r="AA442" i="1"/>
  <c r="AC442" i="1" s="1"/>
  <c r="AH442" i="1" l="1"/>
  <c r="AG442" i="1"/>
  <c r="Z444" i="1"/>
  <c r="AA443" i="1"/>
  <c r="AC443" i="1" s="1"/>
  <c r="AF442" i="1"/>
  <c r="AE442" i="1"/>
  <c r="AD442" i="1"/>
  <c r="AH443" i="1" l="1"/>
  <c r="AG443" i="1"/>
  <c r="AE443" i="1"/>
  <c r="AF443" i="1"/>
  <c r="AD443" i="1"/>
  <c r="Z445" i="1"/>
  <c r="AA444" i="1"/>
  <c r="AC444" i="1" s="1"/>
  <c r="AH444" i="1" l="1"/>
  <c r="AG444" i="1"/>
  <c r="Z446" i="1"/>
  <c r="AA445" i="1"/>
  <c r="AC445" i="1" s="1"/>
  <c r="AF444" i="1"/>
  <c r="AD444" i="1"/>
  <c r="AE444" i="1"/>
  <c r="AH445" i="1" l="1"/>
  <c r="AG445" i="1"/>
  <c r="Z447" i="1"/>
  <c r="AA446" i="1"/>
  <c r="AC446" i="1" s="1"/>
  <c r="AF445" i="1"/>
  <c r="AD445" i="1"/>
  <c r="AE445" i="1"/>
  <c r="AH446" i="1" l="1"/>
  <c r="AG446" i="1"/>
  <c r="AF446" i="1"/>
  <c r="AD446" i="1"/>
  <c r="AE446" i="1"/>
  <c r="Z448" i="1"/>
  <c r="AA447" i="1"/>
  <c r="AC447" i="1" s="1"/>
  <c r="AH447" i="1" l="1"/>
  <c r="AG447" i="1"/>
  <c r="Z449" i="1"/>
  <c r="AA448" i="1"/>
  <c r="AC448" i="1" s="1"/>
  <c r="AF447" i="1"/>
  <c r="AE447" i="1"/>
  <c r="AD447" i="1"/>
  <c r="AH448" i="1" l="1"/>
  <c r="AG448" i="1"/>
  <c r="AF448" i="1"/>
  <c r="AD448" i="1"/>
  <c r="AE448" i="1"/>
  <c r="Z450" i="1"/>
  <c r="AA449" i="1"/>
  <c r="AC449" i="1" s="1"/>
  <c r="AH449" i="1" l="1"/>
  <c r="AG449" i="1"/>
  <c r="AF449" i="1"/>
  <c r="AD449" i="1"/>
  <c r="AE449" i="1"/>
  <c r="Z451" i="1"/>
  <c r="AA450" i="1"/>
  <c r="AC450" i="1" s="1"/>
  <c r="AH450" i="1" l="1"/>
  <c r="AG450" i="1"/>
  <c r="AF450" i="1"/>
  <c r="AE450" i="1"/>
  <c r="AD450" i="1"/>
  <c r="Z452" i="1"/>
  <c r="AA451" i="1"/>
  <c r="AC451" i="1" s="1"/>
  <c r="AH451" i="1" l="1"/>
  <c r="AG451" i="1"/>
  <c r="AE451" i="1"/>
  <c r="AD451" i="1"/>
  <c r="AF451" i="1"/>
  <c r="Z453" i="1"/>
  <c r="AA452" i="1"/>
  <c r="AC452" i="1" s="1"/>
  <c r="AH452" i="1" l="1"/>
  <c r="AG452" i="1"/>
  <c r="AE452" i="1"/>
  <c r="AF452" i="1"/>
  <c r="AD452" i="1"/>
  <c r="Z454" i="1"/>
  <c r="AA453" i="1"/>
  <c r="AC453" i="1" s="1"/>
  <c r="AH453" i="1" l="1"/>
  <c r="AG453" i="1"/>
  <c r="AF453" i="1"/>
  <c r="AE453" i="1"/>
  <c r="AD453" i="1"/>
  <c r="Z455" i="1"/>
  <c r="AA454" i="1"/>
  <c r="AC454" i="1" s="1"/>
  <c r="AH454" i="1" l="1"/>
  <c r="AG454" i="1"/>
  <c r="AF454" i="1"/>
  <c r="AE454" i="1"/>
  <c r="AD454" i="1"/>
  <c r="Z456" i="1"/>
  <c r="AA455" i="1"/>
  <c r="AC455" i="1" s="1"/>
  <c r="AH455" i="1" l="1"/>
  <c r="AG455" i="1"/>
  <c r="AE455" i="1"/>
  <c r="AF455" i="1"/>
  <c r="AD455" i="1"/>
  <c r="Z457" i="1"/>
  <c r="AA456" i="1"/>
  <c r="AC456" i="1" s="1"/>
  <c r="AH456" i="1" l="1"/>
  <c r="AG456" i="1"/>
  <c r="AF456" i="1"/>
  <c r="AD456" i="1"/>
  <c r="AE456" i="1"/>
  <c r="Z458" i="1"/>
  <c r="AA457" i="1"/>
  <c r="AC457" i="1" s="1"/>
  <c r="AH457" i="1" l="1"/>
  <c r="AG457" i="1"/>
  <c r="AF457" i="1"/>
  <c r="AD457" i="1"/>
  <c r="AE457" i="1"/>
  <c r="Z459" i="1"/>
  <c r="AA458" i="1"/>
  <c r="AC458" i="1" s="1"/>
  <c r="AH458" i="1" l="1"/>
  <c r="AG458" i="1"/>
  <c r="Z460" i="1"/>
  <c r="AA459" i="1"/>
  <c r="AC459" i="1" s="1"/>
  <c r="AD458" i="1"/>
  <c r="AE458" i="1"/>
  <c r="AF458" i="1"/>
  <c r="AH459" i="1" l="1"/>
  <c r="AG459" i="1"/>
  <c r="AD459" i="1"/>
  <c r="AE459" i="1"/>
  <c r="AF459" i="1"/>
  <c r="Z461" i="1"/>
  <c r="AA460" i="1"/>
  <c r="AC460" i="1" s="1"/>
  <c r="AH460" i="1" l="1"/>
  <c r="AG460" i="1"/>
  <c r="Z462" i="1"/>
  <c r="AA461" i="1"/>
  <c r="AC461" i="1" s="1"/>
  <c r="AE460" i="1"/>
  <c r="AF460" i="1"/>
  <c r="AD460" i="1"/>
  <c r="AH461" i="1" l="1"/>
  <c r="AG461" i="1"/>
  <c r="AF461" i="1"/>
  <c r="AD461" i="1"/>
  <c r="AE461" i="1"/>
  <c r="Z463" i="1"/>
  <c r="AA462" i="1"/>
  <c r="AC462" i="1" s="1"/>
  <c r="AH462" i="1" l="1"/>
  <c r="AG462" i="1"/>
  <c r="Z464" i="1"/>
  <c r="AA463" i="1"/>
  <c r="AC463" i="1" s="1"/>
  <c r="AF462" i="1"/>
  <c r="AD462" i="1"/>
  <c r="AE462" i="1"/>
  <c r="AH463" i="1" l="1"/>
  <c r="AG463" i="1"/>
  <c r="AF463" i="1"/>
  <c r="AE463" i="1"/>
  <c r="AD463" i="1"/>
  <c r="Z465" i="1"/>
  <c r="AA464" i="1"/>
  <c r="AC464" i="1" s="1"/>
  <c r="AH464" i="1" l="1"/>
  <c r="AG464" i="1"/>
  <c r="AF464" i="1"/>
  <c r="AE464" i="1"/>
  <c r="AD464" i="1"/>
  <c r="Z466" i="1"/>
  <c r="AA465" i="1"/>
  <c r="AC465" i="1" s="1"/>
  <c r="AH465" i="1" l="1"/>
  <c r="AG465" i="1"/>
  <c r="Z467" i="1"/>
  <c r="AA466" i="1"/>
  <c r="AC466" i="1" s="1"/>
  <c r="AF465" i="1"/>
  <c r="AD465" i="1"/>
  <c r="AE465" i="1"/>
  <c r="AH466" i="1" l="1"/>
  <c r="AG466" i="1"/>
  <c r="Z468" i="1"/>
  <c r="AA467" i="1"/>
  <c r="AC467" i="1" s="1"/>
  <c r="AF466" i="1"/>
  <c r="AE466" i="1"/>
  <c r="AD466" i="1"/>
  <c r="AH467" i="1" l="1"/>
  <c r="AG467" i="1"/>
  <c r="AF467" i="1"/>
  <c r="AE467" i="1"/>
  <c r="AD467" i="1"/>
  <c r="Z469" i="1"/>
  <c r="AA468" i="1"/>
  <c r="AC468" i="1" s="1"/>
  <c r="AH468" i="1" l="1"/>
  <c r="AG468" i="1"/>
  <c r="AF468" i="1"/>
  <c r="AD468" i="1"/>
  <c r="AE468" i="1"/>
  <c r="Z470" i="1"/>
  <c r="AA469" i="1"/>
  <c r="AC469" i="1" s="1"/>
  <c r="AH469" i="1" l="1"/>
  <c r="AG469" i="1"/>
  <c r="Z471" i="1"/>
  <c r="AA470" i="1"/>
  <c r="AC470" i="1" s="1"/>
  <c r="AF469" i="1"/>
  <c r="AD469" i="1"/>
  <c r="AE469" i="1"/>
  <c r="AH470" i="1" l="1"/>
  <c r="AG470" i="1"/>
  <c r="AF470" i="1"/>
  <c r="AD470" i="1"/>
  <c r="AE470" i="1"/>
  <c r="Z472" i="1"/>
  <c r="AA471" i="1"/>
  <c r="AC471" i="1" s="1"/>
  <c r="AH471" i="1" l="1"/>
  <c r="AG471" i="1"/>
  <c r="AF471" i="1"/>
  <c r="AD471" i="1"/>
  <c r="AE471" i="1"/>
  <c r="Z473" i="1"/>
  <c r="AA472" i="1"/>
  <c r="AC472" i="1" s="1"/>
  <c r="AH472" i="1" l="1"/>
  <c r="AG472" i="1"/>
  <c r="AF472" i="1"/>
  <c r="AD472" i="1"/>
  <c r="AE472" i="1"/>
  <c r="Z474" i="1"/>
  <c r="AA473" i="1"/>
  <c r="AC473" i="1" s="1"/>
  <c r="AH473" i="1" l="1"/>
  <c r="AG473" i="1"/>
  <c r="AF473" i="1"/>
  <c r="AE473" i="1"/>
  <c r="AD473" i="1"/>
  <c r="Z475" i="1"/>
  <c r="AA474" i="1"/>
  <c r="AC474" i="1" s="1"/>
  <c r="AH474" i="1" l="1"/>
  <c r="AG474" i="1"/>
  <c r="AF474" i="1"/>
  <c r="AD474" i="1"/>
  <c r="AE474" i="1"/>
  <c r="Z476" i="1"/>
  <c r="AA475" i="1"/>
  <c r="AC475" i="1" s="1"/>
  <c r="AH475" i="1" l="1"/>
  <c r="AG475" i="1"/>
  <c r="AF475" i="1"/>
  <c r="AD475" i="1"/>
  <c r="AE475" i="1"/>
  <c r="Z477" i="1"/>
  <c r="AA476" i="1"/>
  <c r="AC476" i="1" s="1"/>
  <c r="AH476" i="1" l="1"/>
  <c r="AG476" i="1"/>
  <c r="Z478" i="1"/>
  <c r="AA477" i="1"/>
  <c r="AC477" i="1" s="1"/>
  <c r="AE476" i="1"/>
  <c r="AF476" i="1"/>
  <c r="AD476" i="1"/>
  <c r="AH477" i="1" l="1"/>
  <c r="AG477" i="1"/>
  <c r="AF477" i="1"/>
  <c r="AE477" i="1"/>
  <c r="AD477" i="1"/>
  <c r="Z479" i="1"/>
  <c r="AA478" i="1"/>
  <c r="AC478" i="1" s="1"/>
  <c r="AH478" i="1" l="1"/>
  <c r="AG478" i="1"/>
  <c r="AF478" i="1"/>
  <c r="AD478" i="1"/>
  <c r="AE478" i="1"/>
  <c r="Z480" i="1"/>
  <c r="AA479" i="1"/>
  <c r="AC479" i="1" s="1"/>
  <c r="AH479" i="1" l="1"/>
  <c r="AG479" i="1"/>
  <c r="AF479" i="1"/>
  <c r="AE479" i="1"/>
  <c r="AD479" i="1"/>
  <c r="Z481" i="1"/>
  <c r="AA480" i="1"/>
  <c r="AC480" i="1" s="1"/>
  <c r="AH480" i="1" l="1"/>
  <c r="AG480" i="1"/>
  <c r="AF480" i="1"/>
  <c r="AE480" i="1"/>
  <c r="AD480" i="1"/>
  <c r="Z482" i="1"/>
  <c r="AA481" i="1"/>
  <c r="AC481" i="1" s="1"/>
  <c r="AH481" i="1" l="1"/>
  <c r="AG481" i="1"/>
  <c r="AF481" i="1"/>
  <c r="AE481" i="1"/>
  <c r="AD481" i="1"/>
  <c r="Z483" i="1"/>
  <c r="AA482" i="1"/>
  <c r="AC482" i="1" s="1"/>
  <c r="AH482" i="1" l="1"/>
  <c r="AG482" i="1"/>
  <c r="AE482" i="1"/>
  <c r="AD482" i="1"/>
  <c r="AF482" i="1"/>
  <c r="Z484" i="1"/>
  <c r="AA483" i="1"/>
  <c r="AC483" i="1" s="1"/>
  <c r="AH483" i="1" l="1"/>
  <c r="AG483" i="1"/>
  <c r="AF483" i="1"/>
  <c r="AE483" i="1"/>
  <c r="AD483" i="1"/>
  <c r="Z485" i="1"/>
  <c r="AA484" i="1"/>
  <c r="AC484" i="1" s="1"/>
  <c r="AH484" i="1" l="1"/>
  <c r="AG484" i="1"/>
  <c r="Z486" i="1"/>
  <c r="AA485" i="1"/>
  <c r="AC485" i="1" s="1"/>
  <c r="AF484" i="1"/>
  <c r="AE484" i="1"/>
  <c r="AD484" i="1"/>
  <c r="AH485" i="1" l="1"/>
  <c r="AG485" i="1"/>
  <c r="AF485" i="1"/>
  <c r="AD485" i="1"/>
  <c r="AE485" i="1"/>
  <c r="Z487" i="1"/>
  <c r="AA486" i="1"/>
  <c r="AC486" i="1" s="1"/>
  <c r="AH486" i="1" l="1"/>
  <c r="AG486" i="1"/>
  <c r="AF486" i="1"/>
  <c r="AE486" i="1"/>
  <c r="AD486" i="1"/>
  <c r="Z488" i="1"/>
  <c r="AA487" i="1"/>
  <c r="AC487" i="1" s="1"/>
  <c r="AH487" i="1" l="1"/>
  <c r="AG487" i="1"/>
  <c r="AF487" i="1"/>
  <c r="AD487" i="1"/>
  <c r="AE487" i="1"/>
  <c r="Z489" i="1"/>
  <c r="AA488" i="1"/>
  <c r="AC488" i="1" s="1"/>
  <c r="AH488" i="1" l="1"/>
  <c r="AG488" i="1"/>
  <c r="AE488" i="1"/>
  <c r="AF488" i="1"/>
  <c r="AD488" i="1"/>
  <c r="Z490" i="1"/>
  <c r="AA489" i="1"/>
  <c r="AC489" i="1" s="1"/>
  <c r="AH489" i="1" l="1"/>
  <c r="AG489" i="1"/>
  <c r="AF489" i="1"/>
  <c r="AE489" i="1"/>
  <c r="AD489" i="1"/>
  <c r="Z491" i="1"/>
  <c r="AA490" i="1"/>
  <c r="AC490" i="1" s="1"/>
  <c r="AH490" i="1" l="1"/>
  <c r="AG490" i="1"/>
  <c r="Z492" i="1"/>
  <c r="AA491" i="1"/>
  <c r="AC491" i="1" s="1"/>
  <c r="AF490" i="1"/>
  <c r="AD490" i="1"/>
  <c r="AE490" i="1"/>
  <c r="AH491" i="1" l="1"/>
  <c r="AG491" i="1"/>
  <c r="AF491" i="1"/>
  <c r="AD491" i="1"/>
  <c r="AE491" i="1"/>
  <c r="Z493" i="1"/>
  <c r="AA492" i="1"/>
  <c r="AC492" i="1" s="1"/>
  <c r="AH492" i="1" l="1"/>
  <c r="AG492" i="1"/>
  <c r="Z494" i="1"/>
  <c r="AA493" i="1"/>
  <c r="AC493" i="1" s="1"/>
  <c r="AF492" i="1"/>
  <c r="AD492" i="1"/>
  <c r="AE492" i="1"/>
  <c r="AH493" i="1" l="1"/>
  <c r="AG493" i="1"/>
  <c r="AD493" i="1"/>
  <c r="AE493" i="1"/>
  <c r="AF493" i="1"/>
  <c r="Z495" i="1"/>
  <c r="AA494" i="1"/>
  <c r="AC494" i="1" s="1"/>
  <c r="AH494" i="1" l="1"/>
  <c r="AG494" i="1"/>
  <c r="AE494" i="1"/>
  <c r="AD494" i="1"/>
  <c r="AF494" i="1"/>
  <c r="Z496" i="1"/>
  <c r="AA495" i="1"/>
  <c r="AC495" i="1" s="1"/>
  <c r="AH495" i="1" l="1"/>
  <c r="AG495" i="1"/>
  <c r="AF495" i="1"/>
  <c r="AE495" i="1"/>
  <c r="AD495" i="1"/>
  <c r="Z497" i="1"/>
  <c r="AA496" i="1"/>
  <c r="AC496" i="1" s="1"/>
  <c r="AH496" i="1" l="1"/>
  <c r="AG496" i="1"/>
  <c r="AE496" i="1"/>
  <c r="AD496" i="1"/>
  <c r="AF496" i="1"/>
  <c r="Z498" i="1"/>
  <c r="AA497" i="1"/>
  <c r="AC497" i="1" s="1"/>
  <c r="AH497" i="1" l="1"/>
  <c r="AG497" i="1"/>
  <c r="AE497" i="1"/>
  <c r="AF497" i="1"/>
  <c r="AD497" i="1"/>
  <c r="Z499" i="1"/>
  <c r="AA498" i="1"/>
  <c r="AC498" i="1" s="1"/>
  <c r="AH498" i="1" l="1"/>
  <c r="AG498" i="1"/>
  <c r="AE498" i="1"/>
  <c r="AD498" i="1"/>
  <c r="AF498" i="1"/>
  <c r="Z500" i="1"/>
  <c r="AA499" i="1"/>
  <c r="AC499" i="1" s="1"/>
  <c r="AH499" i="1" l="1"/>
  <c r="AG499" i="1"/>
  <c r="AE499" i="1"/>
  <c r="AF499" i="1"/>
  <c r="AD499" i="1"/>
  <c r="Z501" i="1"/>
  <c r="AA501" i="1" s="1"/>
  <c r="AC501" i="1" s="1"/>
  <c r="AA500" i="1"/>
  <c r="AC500" i="1" s="1"/>
  <c r="AH501" i="1" l="1"/>
  <c r="AG501" i="1"/>
  <c r="AH500" i="1"/>
  <c r="AG500" i="1"/>
  <c r="AE500" i="1"/>
  <c r="AF500" i="1"/>
  <c r="AD500" i="1"/>
  <c r="AF501" i="1"/>
  <c r="AD501" i="1"/>
  <c r="AE5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<sst xmlns="http://schemas.openxmlformats.org/spreadsheetml/2006/main" count="2074" uniqueCount="566">
  <si>
    <t>Item_ID</t>
  </si>
  <si>
    <t>Product_Name</t>
  </si>
  <si>
    <t>Category</t>
  </si>
  <si>
    <t>Supplier</t>
  </si>
  <si>
    <t>Current_Stock</t>
  </si>
  <si>
    <t>Avg_Monthly_Demand</t>
  </si>
  <si>
    <t>Demand_Std_Dev</t>
  </si>
  <si>
    <t>Lead_Time_Days</t>
  </si>
  <si>
    <t>Cost_Per_Unit</t>
  </si>
  <si>
    <t>Holding_Cost_%</t>
  </si>
  <si>
    <t>Order_Cost</t>
  </si>
  <si>
    <t>Supplier_Reliability</t>
  </si>
  <si>
    <t>Lead_Time_Variability</t>
  </si>
  <si>
    <t>ITEM001</t>
  </si>
  <si>
    <t>Flange</t>
  </si>
  <si>
    <t>Finished Goods</t>
  </si>
  <si>
    <t>Supplier A</t>
  </si>
  <si>
    <t>ITEM002</t>
  </si>
  <si>
    <t>Sheet</t>
  </si>
  <si>
    <t>Supplier X</t>
  </si>
  <si>
    <t>ITEM003</t>
  </si>
  <si>
    <t>Rod</t>
  </si>
  <si>
    <t>Raw Material</t>
  </si>
  <si>
    <t>Supplier Y</t>
  </si>
  <si>
    <t>ITEM004</t>
  </si>
  <si>
    <t>Supplier B</t>
  </si>
  <si>
    <t>ITEM005</t>
  </si>
  <si>
    <t>ITEM006</t>
  </si>
  <si>
    <t>ITEM007</t>
  </si>
  <si>
    <t>Pipe A</t>
  </si>
  <si>
    <t>ITEM008</t>
  </si>
  <si>
    <t>ITEM009</t>
  </si>
  <si>
    <t>ITEM010</t>
  </si>
  <si>
    <t>ITEM011</t>
  </si>
  <si>
    <t>Tube</t>
  </si>
  <si>
    <t>ITEM012</t>
  </si>
  <si>
    <t>Connector</t>
  </si>
  <si>
    <t>ITEM013</t>
  </si>
  <si>
    <t>Pipe B</t>
  </si>
  <si>
    <t>ITEM014</t>
  </si>
  <si>
    <t>Valve</t>
  </si>
  <si>
    <t>Supplier Z</t>
  </si>
  <si>
    <t>ITEM015</t>
  </si>
  <si>
    <t>ITEM016</t>
  </si>
  <si>
    <t>ITEM017</t>
  </si>
  <si>
    <t>ITEM018</t>
  </si>
  <si>
    <t>ITEM019</t>
  </si>
  <si>
    <t>ITEM020</t>
  </si>
  <si>
    <t>ITEM021</t>
  </si>
  <si>
    <t>ITEM022</t>
  </si>
  <si>
    <t>ITEM023</t>
  </si>
  <si>
    <t>ITEM024</t>
  </si>
  <si>
    <t>ITEM025</t>
  </si>
  <si>
    <t>ITEM026</t>
  </si>
  <si>
    <t>ITEM027</t>
  </si>
  <si>
    <t>ITEM028</t>
  </si>
  <si>
    <t>ITEM029</t>
  </si>
  <si>
    <t>ITEM030</t>
  </si>
  <si>
    <t>ITEM031</t>
  </si>
  <si>
    <t>ITEM032</t>
  </si>
  <si>
    <t>ITEM033</t>
  </si>
  <si>
    <t>ITEM034</t>
  </si>
  <si>
    <t>ITEM035</t>
  </si>
  <si>
    <t>ITEM036</t>
  </si>
  <si>
    <t>ITEM037</t>
  </si>
  <si>
    <t>ITEM038</t>
  </si>
  <si>
    <t>ITEM039</t>
  </si>
  <si>
    <t>ITEM040</t>
  </si>
  <si>
    <t>ITEM041</t>
  </si>
  <si>
    <t>ITEM042</t>
  </si>
  <si>
    <t>ITEM043</t>
  </si>
  <si>
    <t>ITEM044</t>
  </si>
  <si>
    <t>ITEM045</t>
  </si>
  <si>
    <t>ITEM046</t>
  </si>
  <si>
    <t>ITEM047</t>
  </si>
  <si>
    <t>ITEM048</t>
  </si>
  <si>
    <t>ITEM049</t>
  </si>
  <si>
    <t>ITEM050</t>
  </si>
  <si>
    <t>ITEM051</t>
  </si>
  <si>
    <t>ITEM052</t>
  </si>
  <si>
    <t>ITEM053</t>
  </si>
  <si>
    <t>ITEM054</t>
  </si>
  <si>
    <t>ITEM055</t>
  </si>
  <si>
    <t>ITEM056</t>
  </si>
  <si>
    <t>ITEM057</t>
  </si>
  <si>
    <t>ITEM058</t>
  </si>
  <si>
    <t>ITEM059</t>
  </si>
  <si>
    <t>ITEM060</t>
  </si>
  <si>
    <t>ITEM061</t>
  </si>
  <si>
    <t>ITEM062</t>
  </si>
  <si>
    <t>ITEM063</t>
  </si>
  <si>
    <t>ITEM064</t>
  </si>
  <si>
    <t>ITEM065</t>
  </si>
  <si>
    <t>ITEM066</t>
  </si>
  <si>
    <t>ITEM067</t>
  </si>
  <si>
    <t>ITEM068</t>
  </si>
  <si>
    <t>ITEM069</t>
  </si>
  <si>
    <t>ITEM070</t>
  </si>
  <si>
    <t>ITEM071</t>
  </si>
  <si>
    <t>ITEM072</t>
  </si>
  <si>
    <t>ITEM073</t>
  </si>
  <si>
    <t>ITEM074</t>
  </si>
  <si>
    <t>ITEM075</t>
  </si>
  <si>
    <t>ITEM076</t>
  </si>
  <si>
    <t>ITEM077</t>
  </si>
  <si>
    <t>ITEM078</t>
  </si>
  <si>
    <t>ITEM079</t>
  </si>
  <si>
    <t>ITEM080</t>
  </si>
  <si>
    <t>ITEM081</t>
  </si>
  <si>
    <t>ITEM082</t>
  </si>
  <si>
    <t>ITEM083</t>
  </si>
  <si>
    <t>ITEM084</t>
  </si>
  <si>
    <t>ITEM085</t>
  </si>
  <si>
    <t>ITEM086</t>
  </si>
  <si>
    <t>ITEM087</t>
  </si>
  <si>
    <t>ITEM088</t>
  </si>
  <si>
    <t>ITEM089</t>
  </si>
  <si>
    <t>ITEM090</t>
  </si>
  <si>
    <t>ITEM091</t>
  </si>
  <si>
    <t>ITEM092</t>
  </si>
  <si>
    <t>ITEM093</t>
  </si>
  <si>
    <t>ITEM094</t>
  </si>
  <si>
    <t>ITEM095</t>
  </si>
  <si>
    <t>ITEM096</t>
  </si>
  <si>
    <t>ITEM097</t>
  </si>
  <si>
    <t>ITEM098</t>
  </si>
  <si>
    <t>ITEM099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</si>
  <si>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</si>
  <si>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</si>
  <si>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</si>
  <si>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</si>
  <si>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</si>
  <si>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</si>
  <si>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</si>
  <si>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</si>
  <si>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</si>
  <si>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</si>
  <si>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ITEM110</t>
  </si>
  <si>
    <t>ITEM111</t>
  </si>
  <si>
    <t>ITEM112</t>
  </si>
  <si>
    <t>ITEM113</t>
  </si>
  <si>
    <t>ITEM114</t>
  </si>
  <si>
    <t>ITEM115</t>
  </si>
  <si>
    <t>ITEM116</t>
  </si>
  <si>
    <t>ITEM117</t>
  </si>
  <si>
    <t>ITEM118</t>
  </si>
  <si>
    <t>ITEM119</t>
  </si>
  <si>
    <t>ITEM120</t>
  </si>
  <si>
    <t>ITEM121</t>
  </si>
  <si>
    <t>ITEM122</t>
  </si>
  <si>
    <t>ITEM123</t>
  </si>
  <si>
    <t>ITEM124</t>
  </si>
  <si>
    <t>ITEM125</t>
  </si>
  <si>
    <t>ITEM126</t>
  </si>
  <si>
    <t>ITEM127</t>
  </si>
  <si>
    <t>ITEM128</t>
  </si>
  <si>
    <t>ITEM129</t>
  </si>
  <si>
    <t>ITEM130</t>
  </si>
  <si>
    <t>ITEM131</t>
  </si>
  <si>
    <t>ITEM132</t>
  </si>
  <si>
    <t>ITEM133</t>
  </si>
  <si>
    <t>ITEM134</t>
  </si>
  <si>
    <t>ITEM135</t>
  </si>
  <si>
    <t>ITEM136</t>
  </si>
  <si>
    <t>ITEM137</t>
  </si>
  <si>
    <t>ITEM138</t>
  </si>
  <si>
    <t>ITEM139</t>
  </si>
  <si>
    <t>ITEM140</t>
  </si>
  <si>
    <t>ITEM141</t>
  </si>
  <si>
    <t>ITEM142</t>
  </si>
  <si>
    <t>ITEM143</t>
  </si>
  <si>
    <t>ITEM144</t>
  </si>
  <si>
    <t>ITEM145</t>
  </si>
  <si>
    <t>ITEM146</t>
  </si>
  <si>
    <t>ITEM147</t>
  </si>
  <si>
    <t>ITEM148</t>
  </si>
  <si>
    <t>ITEM149</t>
  </si>
  <si>
    <t>ITEM150</t>
  </si>
  <si>
    <t>ITEM151</t>
  </si>
  <si>
    <t>ITEM152</t>
  </si>
  <si>
    <t>ITEM153</t>
  </si>
  <si>
    <t>ITEM154</t>
  </si>
  <si>
    <t>ITEM155</t>
  </si>
  <si>
    <t>ITEM156</t>
  </si>
  <si>
    <t>ITEM157</t>
  </si>
  <si>
    <t>ITEM158</t>
  </si>
  <si>
    <t>ITEM159</t>
  </si>
  <si>
    <t>ITEM160</t>
  </si>
  <si>
    <t>ITEM161</t>
  </si>
  <si>
    <t>ITEM162</t>
  </si>
  <si>
    <t>ITEM163</t>
  </si>
  <si>
    <t>ITEM164</t>
  </si>
  <si>
    <t>ITEM165</t>
  </si>
  <si>
    <t>ITEM166</t>
  </si>
  <si>
    <t>ITEM167</t>
  </si>
  <si>
    <t>ITEM168</t>
  </si>
  <si>
    <t>ITEM169</t>
  </si>
  <si>
    <t>ITEM170</t>
  </si>
  <si>
    <t>ITEM171</t>
  </si>
  <si>
    <t>ITEM172</t>
  </si>
  <si>
    <t>ITEM173</t>
  </si>
  <si>
    <t>ITEM174</t>
  </si>
  <si>
    <t>ITEM175</t>
  </si>
  <si>
    <t>ITEM176</t>
  </si>
  <si>
    <t>ITEM177</t>
  </si>
  <si>
    <t>ITEM178</t>
  </si>
  <si>
    <t>ITEM179</t>
  </si>
  <si>
    <t>ITEM180</t>
  </si>
  <si>
    <t>ITEM181</t>
  </si>
  <si>
    <t>ITEM182</t>
  </si>
  <si>
    <t>ITEM183</t>
  </si>
  <si>
    <t>ITEM184</t>
  </si>
  <si>
    <t>ITEM185</t>
  </si>
  <si>
    <t>ITEM186</t>
  </si>
  <si>
    <t>ITEM187</t>
  </si>
  <si>
    <t>ITEM188</t>
  </si>
  <si>
    <t>ITEM189</t>
  </si>
  <si>
    <t>ITEM190</t>
  </si>
  <si>
    <t>ITEM191</t>
  </si>
  <si>
    <t>ITEM192</t>
  </si>
  <si>
    <t>ITEM193</t>
  </si>
  <si>
    <t>ITEM194</t>
  </si>
  <si>
    <t>ITEM195</t>
  </si>
  <si>
    <t>ITEM196</t>
  </si>
  <si>
    <t>ITEM197</t>
  </si>
  <si>
    <t>ITEM198</t>
  </si>
  <si>
    <t>ITEM199</t>
  </si>
  <si>
    <t>ITEM200</t>
  </si>
  <si>
    <t>ITEM201</t>
  </si>
  <si>
    <t>ITEM202</t>
  </si>
  <si>
    <t>ITEM203</t>
  </si>
  <si>
    <t>ITEM204</t>
  </si>
  <si>
    <t>ITEM205</t>
  </si>
  <si>
    <t>ITEM206</t>
  </si>
  <si>
    <t>ITEM207</t>
  </si>
  <si>
    <t>ITEM208</t>
  </si>
  <si>
    <t>ITEM209</t>
  </si>
  <si>
    <t>ITEM210</t>
  </si>
  <si>
    <t>ITEM211</t>
  </si>
  <si>
    <t>ITEM212</t>
  </si>
  <si>
    <t>ITEM213</t>
  </si>
  <si>
    <t>ITEM214</t>
  </si>
  <si>
    <t>ITEM215</t>
  </si>
  <si>
    <t>ITEM216</t>
  </si>
  <si>
    <t>ITEM217</t>
  </si>
  <si>
    <t>ITEM218</t>
  </si>
  <si>
    <t>ITEM219</t>
  </si>
  <si>
    <t>ITEM220</t>
  </si>
  <si>
    <t>ITEM221</t>
  </si>
  <si>
    <t>ITEM222</t>
  </si>
  <si>
    <t>ITEM223</t>
  </si>
  <si>
    <t>ITEM224</t>
  </si>
  <si>
    <t>ITEM225</t>
  </si>
  <si>
    <t>ITEM226</t>
  </si>
  <si>
    <t>ITEM227</t>
  </si>
  <si>
    <t>ITEM228</t>
  </si>
  <si>
    <t>ITEM229</t>
  </si>
  <si>
    <t>ITEM230</t>
  </si>
  <si>
    <t>ITEM231</t>
  </si>
  <si>
    <t>ITEM232</t>
  </si>
  <si>
    <t>ITEM233</t>
  </si>
  <si>
    <t>ITEM234</t>
  </si>
  <si>
    <t>ITEM235</t>
  </si>
  <si>
    <t>ITEM236</t>
  </si>
  <si>
    <t>ITEM237</t>
  </si>
  <si>
    <t>ITEM238</t>
  </si>
  <si>
    <t>ITEM239</t>
  </si>
  <si>
    <t>ITEM240</t>
  </si>
  <si>
    <t>ITEM241</t>
  </si>
  <si>
    <t>ITEM242</t>
  </si>
  <si>
    <t>ITEM243</t>
  </si>
  <si>
    <t>ITEM244</t>
  </si>
  <si>
    <t>ITEM245</t>
  </si>
  <si>
    <t>ITEM246</t>
  </si>
  <si>
    <t>ITEM247</t>
  </si>
  <si>
    <t>ITEM248</t>
  </si>
  <si>
    <t>ITEM249</t>
  </si>
  <si>
    <t>ITEM250</t>
  </si>
  <si>
    <t>ITEM251</t>
  </si>
  <si>
    <t>ITEM252</t>
  </si>
  <si>
    <t>ITEM253</t>
  </si>
  <si>
    <t>ITEM254</t>
  </si>
  <si>
    <t>ITEM255</t>
  </si>
  <si>
    <t>ITEM256</t>
  </si>
  <si>
    <t>ITEM257</t>
  </si>
  <si>
    <t>ITEM258</t>
  </si>
  <si>
    <t>ITEM259</t>
  </si>
  <si>
    <t>ITEM260</t>
  </si>
  <si>
    <t>ITEM261</t>
  </si>
  <si>
    <t>ITEM262</t>
  </si>
  <si>
    <t>ITEM263</t>
  </si>
  <si>
    <t>ITEM264</t>
  </si>
  <si>
    <t>ITEM265</t>
  </si>
  <si>
    <t>ITEM266</t>
  </si>
  <si>
    <t>ITEM267</t>
  </si>
  <si>
    <t>ITEM268</t>
  </si>
  <si>
    <t>ITEM269</t>
  </si>
  <si>
    <t>ITEM270</t>
  </si>
  <si>
    <t>ITEM271</t>
  </si>
  <si>
    <t>ITEM272</t>
  </si>
  <si>
    <t>ITEM273</t>
  </si>
  <si>
    <t>ITEM274</t>
  </si>
  <si>
    <t>ITEM275</t>
  </si>
  <si>
    <t>ITEM276</t>
  </si>
  <si>
    <t>ITEM277</t>
  </si>
  <si>
    <t>ITEM278</t>
  </si>
  <si>
    <t>ITEM279</t>
  </si>
  <si>
    <t>ITEM280</t>
  </si>
  <si>
    <t>ITEM281</t>
  </si>
  <si>
    <t>ITEM282</t>
  </si>
  <si>
    <t>ITEM283</t>
  </si>
  <si>
    <t>ITEM284</t>
  </si>
  <si>
    <t>ITEM285</t>
  </si>
  <si>
    <t>ITEM286</t>
  </si>
  <si>
    <t>ITEM287</t>
  </si>
  <si>
    <t>ITEM288</t>
  </si>
  <si>
    <t>ITEM289</t>
  </si>
  <si>
    <t>ITEM290</t>
  </si>
  <si>
    <t>ITEM291</t>
  </si>
  <si>
    <t>ITEM292</t>
  </si>
  <si>
    <t>ITEM293</t>
  </si>
  <si>
    <t>ITEM294</t>
  </si>
  <si>
    <t>ITEM295</t>
  </si>
  <si>
    <t>ITEM296</t>
  </si>
  <si>
    <t>ITEM297</t>
  </si>
  <si>
    <t>ITEM298</t>
  </si>
  <si>
    <t>ITEM299</t>
  </si>
  <si>
    <t>ITEM300</t>
  </si>
  <si>
    <t>ITEM301</t>
  </si>
  <si>
    <t>ITEM302</t>
  </si>
  <si>
    <t>ITEM303</t>
  </si>
  <si>
    <t>ITEM304</t>
  </si>
  <si>
    <t>ITEM305</t>
  </si>
  <si>
    <t>ITEM306</t>
  </si>
  <si>
    <t>ITEM307</t>
  </si>
  <si>
    <t>ITEM308</t>
  </si>
  <si>
    <t>ITEM309</t>
  </si>
  <si>
    <t>ITEM310</t>
  </si>
  <si>
    <t>ITEM311</t>
  </si>
  <si>
    <t>ITEM312</t>
  </si>
  <si>
    <t>ITEM313</t>
  </si>
  <si>
    <t>ITEM314</t>
  </si>
  <si>
    <t>ITEM315</t>
  </si>
  <si>
    <t>ITEM316</t>
  </si>
  <si>
    <t>ITEM317</t>
  </si>
  <si>
    <t>ITEM318</t>
  </si>
  <si>
    <t>ITEM319</t>
  </si>
  <si>
    <t>ITEM320</t>
  </si>
  <si>
    <t>ITEM321</t>
  </si>
  <si>
    <t>ITEM322</t>
  </si>
  <si>
    <t>ITEM323</t>
  </si>
  <si>
    <t>ITEM324</t>
  </si>
  <si>
    <t>ITEM325</t>
  </si>
  <si>
    <t>ITEM326</t>
  </si>
  <si>
    <t>ITEM327</t>
  </si>
  <si>
    <t>ITEM328</t>
  </si>
  <si>
    <t>ITEM329</t>
  </si>
  <si>
    <t>ITEM330</t>
  </si>
  <si>
    <t>ITEM331</t>
  </si>
  <si>
    <t>ITEM332</t>
  </si>
  <si>
    <t>ITEM333</t>
  </si>
  <si>
    <t>ITEM334</t>
  </si>
  <si>
    <t>ITEM335</t>
  </si>
  <si>
    <t>ITEM336</t>
  </si>
  <si>
    <t>ITEM337</t>
  </si>
  <si>
    <t>ITEM338</t>
  </si>
  <si>
    <t>ITEM339</t>
  </si>
  <si>
    <t>ITEM340</t>
  </si>
  <si>
    <t>ITEM341</t>
  </si>
  <si>
    <t>ITEM342</t>
  </si>
  <si>
    <t>ITEM343</t>
  </si>
  <si>
    <t>ITEM344</t>
  </si>
  <si>
    <t>ITEM345</t>
  </si>
  <si>
    <t>ITEM346</t>
  </si>
  <si>
    <t>ITEM347</t>
  </si>
  <si>
    <t>ITEM348</t>
  </si>
  <si>
    <t>ITEM349</t>
  </si>
  <si>
    <t>ITEM350</t>
  </si>
  <si>
    <t>ITEM351</t>
  </si>
  <si>
    <t>ITEM352</t>
  </si>
  <si>
    <t>ITEM353</t>
  </si>
  <si>
    <t>ITEM354</t>
  </si>
  <si>
    <t>ITEM355</t>
  </si>
  <si>
    <t>ITEM356</t>
  </si>
  <si>
    <t>ITEM357</t>
  </si>
  <si>
    <t>ITEM358</t>
  </si>
  <si>
    <t>ITEM359</t>
  </si>
  <si>
    <t>ITEM360</t>
  </si>
  <si>
    <t>ITEM361</t>
  </si>
  <si>
    <t>ITEM362</t>
  </si>
  <si>
    <t>ITEM363</t>
  </si>
  <si>
    <t>ITEM364</t>
  </si>
  <si>
    <t>ITEM365</t>
  </si>
  <si>
    <t>ITEM366</t>
  </si>
  <si>
    <t>ITEM367</t>
  </si>
  <si>
    <t>ITEM368</t>
  </si>
  <si>
    <t>ITEM369</t>
  </si>
  <si>
    <t>ITEM370</t>
  </si>
  <si>
    <t>ITEM371</t>
  </si>
  <si>
    <t>ITEM372</t>
  </si>
  <si>
    <t>ITEM373</t>
  </si>
  <si>
    <t>ITEM374</t>
  </si>
  <si>
    <t>ITEM375</t>
  </si>
  <si>
    <t>ITEM376</t>
  </si>
  <si>
    <t>ITEM377</t>
  </si>
  <si>
    <t>ITEM378</t>
  </si>
  <si>
    <t>ITEM379</t>
  </si>
  <si>
    <t>ITEM380</t>
  </si>
  <si>
    <t>ITEM381</t>
  </si>
  <si>
    <t>ITEM382</t>
  </si>
  <si>
    <t>ITEM383</t>
  </si>
  <si>
    <t>ITEM384</t>
  </si>
  <si>
    <t>ITEM385</t>
  </si>
  <si>
    <t>ITEM386</t>
  </si>
  <si>
    <t>ITEM387</t>
  </si>
  <si>
    <t>ITEM388</t>
  </si>
  <si>
    <t>ITEM389</t>
  </si>
  <si>
    <t>ITEM390</t>
  </si>
  <si>
    <t>ITEM391</t>
  </si>
  <si>
    <t>ITEM392</t>
  </si>
  <si>
    <t>ITEM393</t>
  </si>
  <si>
    <t>ITEM394</t>
  </si>
  <si>
    <t>ITEM395</t>
  </si>
  <si>
    <t>ITEM396</t>
  </si>
  <si>
    <t>ITEM397</t>
  </si>
  <si>
    <t>ITEM398</t>
  </si>
  <si>
    <t>ITEM399</t>
  </si>
  <si>
    <t>ITEM400</t>
  </si>
  <si>
    <t>ITEM401</t>
  </si>
  <si>
    <t>ITEM402</t>
  </si>
  <si>
    <t>ITEM403</t>
  </si>
  <si>
    <t>ITEM404</t>
  </si>
  <si>
    <t>ITEM405</t>
  </si>
  <si>
    <t>ITEM406</t>
  </si>
  <si>
    <t>ITEM407</t>
  </si>
  <si>
    <t>ITEM408</t>
  </si>
  <si>
    <t>ITEM409</t>
  </si>
  <si>
    <t>ITEM410</t>
  </si>
  <si>
    <t>ITEM411</t>
  </si>
  <si>
    <t>ITEM412</t>
  </si>
  <si>
    <t>ITEM413</t>
  </si>
  <si>
    <t>ITEM414</t>
  </si>
  <si>
    <t>ITEM415</t>
  </si>
  <si>
    <t>ITEM416</t>
  </si>
  <si>
    <t>ITEM417</t>
  </si>
  <si>
    <t>ITEM418</t>
  </si>
  <si>
    <t>ITEM419</t>
  </si>
  <si>
    <t>ITEM420</t>
  </si>
  <si>
    <t>ITEM421</t>
  </si>
  <si>
    <t>ITEM422</t>
  </si>
  <si>
    <t>ITEM423</t>
  </si>
  <si>
    <t>ITEM424</t>
  </si>
  <si>
    <t>ITEM425</t>
  </si>
  <si>
    <t>ITEM426</t>
  </si>
  <si>
    <t>ITEM427</t>
  </si>
  <si>
    <t>ITEM428</t>
  </si>
  <si>
    <t>ITEM429</t>
  </si>
  <si>
    <t>ITEM430</t>
  </si>
  <si>
    <t>ITEM431</t>
  </si>
  <si>
    <t>ITEM432</t>
  </si>
  <si>
    <t>ITEM433</t>
  </si>
  <si>
    <t>ITEM434</t>
  </si>
  <si>
    <t>ITEM435</t>
  </si>
  <si>
    <t>ITEM436</t>
  </si>
  <si>
    <t>ITEM437</t>
  </si>
  <si>
    <t>ITEM438</t>
  </si>
  <si>
    <t>ITEM439</t>
  </si>
  <si>
    <t>ITEM440</t>
  </si>
  <si>
    <t>ITEM441</t>
  </si>
  <si>
    <t>ITEM442</t>
  </si>
  <si>
    <t>ITEM443</t>
  </si>
  <si>
    <t>ITEM444</t>
  </si>
  <si>
    <t>ITEM445</t>
  </si>
  <si>
    <t>ITEM446</t>
  </si>
  <si>
    <t>ITEM447</t>
  </si>
  <si>
    <t>ITEM448</t>
  </si>
  <si>
    <t>ITEM449</t>
  </si>
  <si>
    <t>ITEM450</t>
  </si>
  <si>
    <t>ITEM451</t>
  </si>
  <si>
    <t>ITEM452</t>
  </si>
  <si>
    <t>ITEM453</t>
  </si>
  <si>
    <t>ITEM454</t>
  </si>
  <si>
    <t>ITEM455</t>
  </si>
  <si>
    <t>ITEM456</t>
  </si>
  <si>
    <t>ITEM457</t>
  </si>
  <si>
    <t>ITEM458</t>
  </si>
  <si>
    <t>ITEM459</t>
  </si>
  <si>
    <t>ITEM460</t>
  </si>
  <si>
    <t>ITEM461</t>
  </si>
  <si>
    <t>ITEM462</t>
  </si>
  <si>
    <t>ITEM463</t>
  </si>
  <si>
    <t>ITEM464</t>
  </si>
  <si>
    <t>ITEM465</t>
  </si>
  <si>
    <t>ITEM466</t>
  </si>
  <si>
    <t>ITEM467</t>
  </si>
  <si>
    <t>ITEM468</t>
  </si>
  <si>
    <t>ITEM469</t>
  </si>
  <si>
    <t>ITEM470</t>
  </si>
  <si>
    <t>ITEM471</t>
  </si>
  <si>
    <t>ITEM472</t>
  </si>
  <si>
    <t>ITEM473</t>
  </si>
  <si>
    <t>ITEM474</t>
  </si>
  <si>
    <t>ITEM475</t>
  </si>
  <si>
    <t>ITEM476</t>
  </si>
  <si>
    <t>ITEM477</t>
  </si>
  <si>
    <t>ITEM478</t>
  </si>
  <si>
    <t>ITEM479</t>
  </si>
  <si>
    <t>ITEM480</t>
  </si>
  <si>
    <t>ITEM481</t>
  </si>
  <si>
    <t>ITEM482</t>
  </si>
  <si>
    <t>ITEM483</t>
  </si>
  <si>
    <t>ITEM484</t>
  </si>
  <si>
    <t>ITEM485</t>
  </si>
  <si>
    <t>ITEM486</t>
  </si>
  <si>
    <t>ITEM487</t>
  </si>
  <si>
    <t>ITEM488</t>
  </si>
  <si>
    <t>ITEM489</t>
  </si>
  <si>
    <t>ITEM490</t>
  </si>
  <si>
    <t>ITEM491</t>
  </si>
  <si>
    <t>ITEM492</t>
  </si>
  <si>
    <t>ITEM493</t>
  </si>
  <si>
    <t>ITEM494</t>
  </si>
  <si>
    <t>ITEM495</t>
  </si>
  <si>
    <t>ITEM496</t>
  </si>
  <si>
    <t>ITEM497</t>
  </si>
  <si>
    <t>ITEM498</t>
  </si>
  <si>
    <t>ITEM499</t>
  </si>
  <si>
    <t>ITEM500</t>
  </si>
  <si>
    <t>Daily_Demand</t>
  </si>
  <si>
    <t>Demand Change %</t>
  </si>
  <si>
    <t>Value</t>
  </si>
  <si>
    <t>Parameter</t>
  </si>
  <si>
    <t>Adjusted Demand</t>
  </si>
  <si>
    <t>Demand_Variability_%</t>
  </si>
  <si>
    <t>Demand_Variability_Status</t>
  </si>
  <si>
    <t>Safety_Stock</t>
  </si>
  <si>
    <t>Reorder_Level</t>
  </si>
  <si>
    <t>Stock_Gap</t>
  </si>
  <si>
    <t>Stock_Status</t>
  </si>
  <si>
    <t>Annual_Demand</t>
  </si>
  <si>
    <t>Annual_Consumption_Value</t>
  </si>
  <si>
    <t>Value_Contribution_%</t>
  </si>
  <si>
    <t>Cumulative_%</t>
  </si>
  <si>
    <t>ABC_Class</t>
  </si>
  <si>
    <t>XYZ_Class</t>
  </si>
  <si>
    <t>Inventory_Class</t>
  </si>
  <si>
    <t>Strategy_Type</t>
  </si>
  <si>
    <t>Review_Frequency</t>
  </si>
  <si>
    <t>Recommended_Action</t>
  </si>
  <si>
    <t>Risk_Level</t>
  </si>
  <si>
    <t>Risk_Score</t>
  </si>
  <si>
    <t>Grand Total</t>
  </si>
  <si>
    <t>Final_Risk_Level</t>
  </si>
  <si>
    <t>Critical</t>
  </si>
  <si>
    <t>High</t>
  </si>
  <si>
    <t>Low</t>
  </si>
  <si>
    <t>Medium</t>
  </si>
  <si>
    <t>Risk Level Summary</t>
  </si>
  <si>
    <t>Risk Level</t>
  </si>
  <si>
    <t>Number of Items</t>
  </si>
  <si>
    <t>Supplier Risk Summary</t>
  </si>
  <si>
    <t/>
  </si>
  <si>
    <t>Supplier VS Risk 
level score</t>
  </si>
  <si>
    <t>Annual_Consumption_Value2</t>
  </si>
  <si>
    <t>Selected Risk Level</t>
  </si>
  <si>
    <t>Select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</si>
</sst>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/>
    <xf numFmtId="9" fontId="2" fillId="0" borderId="0" xfId="1" applyFont="1"/>
    <xf numFmtId="1" fontId="2" fillId="0" borderId="0" xfId="0" applyNumberFormat="1" applyFont="1"/>
    <xf numFmtId="1" fontId="0" fillId="0" borderId="0" xfId="0" applyNumberFormat="1"/>
    <xf numFmtId="0" fontId="3" fillId="0" borderId="0" xfId="0" applyFont="1"/>
    <xf numFmtId="1" fontId="2" fillId="0" borderId="1" xfId="0" applyNumberFormat="1" applyFont="1" applyBorder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pivotButton="1" applyAlignment="1"/>
    <xf numFmtId="0" fontId="0" fillId="2" borderId="2" xfId="0" applyFill="1" applyBorder="1"/>
    <xf numFmtId="0" fontId="0" fillId="3" borderId="2" xfId="0" applyFill="1" applyBorder="1"/>
  </cellXfs>
  <cellStyles count="2">
    <cellStyle name="Normal" xfId="0" builtinId="0"/>
    <cellStyle name="Percent" xfId="1" builtinId="5"/>
  </cellStyles>
  <dxfs count="11">
    <dxf>
      <alignment wrapText="1"/>
    </dxf>
    <dxf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Zampadiya" refreshedDate="46173.458118865739" createdVersion="8" refreshedVersion="8" minRefreshableVersion="3" recordCount="501" xr:uid="{A12D8DC9-94F2-4768-A389-10C2E2C0B36E}">
  <cacheSource type="worksheet">
    <worksheetSource ref="AI1:AI1048576" sheet="Inventory_Data"/>
  </cacheSource>
  <cacheFields count="1">
    <cacheField name="Final_Risk_Level" numFmtId="0">
      <sharedItems containsBlank="1" count="5">
        <s v="High"/>
        <s v="Low"/>
        <s v="Medium"/>
        <s v="Crit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Zampadiya" refreshedDate="46173.466969212961" createdVersion="8" refreshedVersion="8" minRefreshableVersion="3" recordCount="500" xr:uid="{40C787C7-5E71-49FB-82F5-FD03A4DB0765}">
  <cacheSource type="worksheet">
    <worksheetSource ref="A1:AI501" sheet="Inventory_Data"/>
  </cacheSource>
  <cacheFields count="35">
    <cacheField name="Item_ID" numFmtId="0">
      <sharedItems/>
    </cacheField>
    <cacheField name="Product_Name" numFmtId="0">
      <sharedItems/>
    </cacheField>
    <cacheField name="Category" numFmtId="0">
      <sharedItems/>
    </cacheField>
    <cacheField name="Supplier" numFmtId="0">
      <sharedItems count="5">
        <s v="Supplier Y"/>
        <s v="Supplier Z"/>
        <s v="Supplier B"/>
        <s v="Supplier A"/>
        <s v="Supplier X"/>
      </sharedItems>
    </cacheField>
    <cacheField name="Current_Stock" numFmtId="0">
      <sharedItems containsSemiMixedTypes="0" containsString="0" containsNumber="1" containsInteger="1" minValue="0" maxValue="1000"/>
    </cacheField>
    <cacheField name="Avg_Monthly_Demand" numFmtId="0">
      <sharedItems containsSemiMixedTypes="0" containsString="0" containsNumber="1" containsInteger="1" minValue="50" maxValue="500"/>
    </cacheField>
    <cacheField name="Demand_Std_Dev" numFmtId="0">
      <sharedItems containsSemiMixedTypes="0" containsString="0" containsNumber="1" containsInteger="1" minValue="5" maxValue="100"/>
    </cacheField>
    <cacheField name="Lead_Time_Days" numFmtId="0">
      <sharedItems containsSemiMixedTypes="0" containsString="0" containsNumber="1" containsInteger="1" minValue="1" maxValue="30"/>
    </cacheField>
    <cacheField name="Cost_Per_Unit" numFmtId="0">
      <sharedItems containsSemiMixedTypes="0" containsString="0" containsNumber="1" minValue="50.74" maxValue="499.5"/>
    </cacheField>
    <cacheField name="Holding_Cost_%" numFmtId="0">
      <sharedItems containsSemiMixedTypes="0" containsString="0" containsNumber="1" minValue="0.05" maxValue="0.25"/>
    </cacheField>
    <cacheField name="Order_Cost" numFmtId="0">
      <sharedItems containsSemiMixedTypes="0" containsString="0" containsNumber="1" containsInteger="1" minValue="101" maxValue="999"/>
    </cacheField>
    <cacheField name="Supplier_Reliability" numFmtId="0">
      <sharedItems containsSemiMixedTypes="0" containsString="0" containsNumber="1" minValue="0.7" maxValue="1"/>
    </cacheField>
    <cacheField name="Lead_Time_Variability" numFmtId="0">
      <sharedItems containsSemiMixedTypes="0" containsString="0" containsNumber="1" containsInteger="1" minValue="1" maxValue="10"/>
    </cacheField>
    <cacheField name="Daily_Demand" numFmtId="2">
      <sharedItems containsSemiMixedTypes="0" containsString="0" containsNumber="1" minValue="1.6666666666666667" maxValue="16.666666666666668"/>
    </cacheField>
    <cacheField name="Adjusted Demand" numFmtId="2">
      <sharedItems containsSemiMixedTypes="0" containsString="0" containsNumber="1" minValue="1.6666666666666667" maxValue="16.666666666666668"/>
    </cacheField>
    <cacheField name="Demand_Variability_%" numFmtId="9">
      <sharedItems containsSemiMixedTypes="0" containsString="0" containsNumber="1" minValue="1.1235955056179775E-2" maxValue="1.6"/>
    </cacheField>
    <cacheField name="Demand_Variability_Status" numFmtId="0">
      <sharedItems/>
    </cacheField>
    <cacheField name="Safety_Stock" numFmtId="2">
      <sharedItems containsSemiMixedTypes="0" containsString="0" containsNumber="1" minValue="12.727922061357857" maxValue="542.2453319301145"/>
    </cacheField>
    <cacheField name="Reorder_Level" numFmtId="2">
      <sharedItems containsSemiMixedTypes="0" containsString="0" containsNumber="1" minValue="21.694588728024524" maxValue="586.27866526344781"/>
    </cacheField>
    <cacheField name="Stock_Gap" numFmtId="2">
      <sharedItems containsSemiMixedTypes="0" containsString="0" containsNumber="1" minValue="-506.64987046630353" maxValue="935.68975213042688"/>
    </cacheField>
    <cacheField name="Stock_Status" numFmtId="0">
      <sharedItems/>
    </cacheField>
    <cacheField name="Annual_Demand" numFmtId="0">
      <sharedItems containsSemiMixedTypes="0" containsString="0" containsNumber="1" containsInteger="1" minValue="600" maxValue="6000"/>
    </cacheField>
    <cacheField name="Annual_Consumption_Value" numFmtId="1">
      <sharedItems containsSemiMixedTypes="0" containsString="0" containsNumber="1" minValue="45787.8" maxValue="2762465.76"/>
    </cacheField>
    <cacheField name="Annual_Consumption_Value2" numFmtId="0">
      <sharedItems containsString="0" containsBlank="1" containsNumber="1" minValue="446029933.31999958" maxValue="446029933.31999958"/>
    </cacheField>
    <cacheField name="Value_Contribution_%" numFmtId="0">
      <sharedItems containsSemiMixedTypes="0" containsString="0" containsNumber="1" minValue="1.0265633891246043E-4" maxValue="6.1934537429758039E-3"/>
    </cacheField>
    <cacheField name="Cumulative_%" numFmtId="9">
      <sharedItems containsSemiMixedTypes="0" containsString="0" containsNumber="1" minValue="6.1934537429758039E-3" maxValue="1.000000000000002"/>
    </cacheField>
    <cacheField name="ABC_Class" numFmtId="0">
      <sharedItems/>
    </cacheField>
    <cacheField name="XYZ_Class" numFmtId="0">
      <sharedItems/>
    </cacheField>
    <cacheField name="Inventory_Class" numFmtId="0">
      <sharedItems/>
    </cacheField>
    <cacheField name="Strategy_Type" numFmtId="0">
      <sharedItems/>
    </cacheField>
    <cacheField name="Review_Frequency" numFmtId="0">
      <sharedItems/>
    </cacheField>
    <cacheField name="Recommended_Action" numFmtId="0">
      <sharedItems/>
    </cacheField>
    <cacheField name="Risk_Level" numFmtId="0">
      <sharedItems/>
    </cacheField>
    <cacheField name="Risk_Score" numFmtId="0">
      <sharedItems containsSemiMixedTypes="0" containsString="0" containsNumber="1" containsInteger="1" minValue="30" maxValue="80"/>
    </cacheField>
    <cacheField name="Final_Risk_Level" numFmtId="0">
      <sharedItems count="4">
        <s v="High"/>
        <s v="Low"/>
        <s v="Medium"/>
        <s v="Crit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</r>
  <r>
    <x v="1"/>
  </r>
  <r>
    <x v="2"/>
  </r>
  <r>
    <x v="0"/>
  </r>
  <r>
    <x v="1"/>
  </r>
  <r>
    <x v="0"/>
  </r>
  <r>
    <x v="2"/>
  </r>
  <r>
    <x v="0"/>
  </r>
  <r>
    <x v="1"/>
  </r>
  <r>
    <x v="0"/>
  </r>
  <r>
    <x v="1"/>
  </r>
  <r>
    <x v="3"/>
  </r>
  <r>
    <x v="2"/>
  </r>
  <r>
    <x v="2"/>
  </r>
  <r>
    <x v="1"/>
  </r>
  <r>
    <x v="0"/>
  </r>
  <r>
    <x v="0"/>
  </r>
  <r>
    <x v="1"/>
  </r>
  <r>
    <x v="1"/>
  </r>
  <r>
    <x v="1"/>
  </r>
  <r>
    <x v="1"/>
  </r>
  <r>
    <x v="2"/>
  </r>
  <r>
    <x v="2"/>
  </r>
  <r>
    <x v="0"/>
  </r>
  <r>
    <x v="1"/>
  </r>
  <r>
    <x v="0"/>
  </r>
  <r>
    <x v="0"/>
  </r>
  <r>
    <x v="2"/>
  </r>
  <r>
    <x v="1"/>
  </r>
  <r>
    <x v="1"/>
  </r>
  <r>
    <x v="2"/>
  </r>
  <r>
    <x v="2"/>
  </r>
  <r>
    <x v="0"/>
  </r>
  <r>
    <x v="0"/>
  </r>
  <r>
    <x v="1"/>
  </r>
  <r>
    <x v="0"/>
  </r>
  <r>
    <x v="2"/>
  </r>
  <r>
    <x v="1"/>
  </r>
  <r>
    <x v="2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0"/>
  </r>
  <r>
    <x v="3"/>
  </r>
  <r>
    <x v="1"/>
  </r>
  <r>
    <x v="2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2"/>
  </r>
  <r>
    <x v="1"/>
  </r>
  <r>
    <x v="0"/>
  </r>
  <r>
    <x v="2"/>
  </r>
  <r>
    <x v="0"/>
  </r>
  <r>
    <x v="1"/>
  </r>
  <r>
    <x v="1"/>
  </r>
  <r>
    <x v="0"/>
  </r>
  <r>
    <x v="0"/>
  </r>
  <r>
    <x v="3"/>
  </r>
  <r>
    <x v="1"/>
  </r>
  <r>
    <x v="1"/>
  </r>
  <r>
    <x v="0"/>
  </r>
  <r>
    <x v="2"/>
  </r>
  <r>
    <x v="2"/>
  </r>
  <r>
    <x v="2"/>
  </r>
  <r>
    <x v="2"/>
  </r>
  <r>
    <x v="2"/>
  </r>
  <r>
    <x v="3"/>
  </r>
  <r>
    <x v="2"/>
  </r>
  <r>
    <x v="0"/>
  </r>
  <r>
    <x v="2"/>
  </r>
  <r>
    <x v="2"/>
  </r>
  <r>
    <x v="1"/>
  </r>
  <r>
    <x v="3"/>
  </r>
  <r>
    <x v="2"/>
  </r>
  <r>
    <x v="3"/>
  </r>
  <r>
    <x v="2"/>
  </r>
  <r>
    <x v="0"/>
  </r>
  <r>
    <x v="2"/>
  </r>
  <r>
    <x v="0"/>
  </r>
  <r>
    <x v="0"/>
  </r>
  <r>
    <x v="0"/>
  </r>
  <r>
    <x v="2"/>
  </r>
  <r>
    <x v="3"/>
  </r>
  <r>
    <x v="2"/>
  </r>
  <r>
    <x v="2"/>
  </r>
  <r>
    <x v="1"/>
  </r>
  <r>
    <x v="1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2"/>
  </r>
  <r>
    <x v="1"/>
  </r>
  <r>
    <x v="1"/>
  </r>
  <r>
    <x v="3"/>
  </r>
  <r>
    <x v="2"/>
  </r>
  <r>
    <x v="2"/>
  </r>
  <r>
    <x v="1"/>
  </r>
  <r>
    <x v="2"/>
  </r>
  <r>
    <x v="0"/>
  </r>
  <r>
    <x v="1"/>
  </r>
  <r>
    <x v="0"/>
  </r>
  <r>
    <x v="1"/>
  </r>
  <r>
    <x v="3"/>
  </r>
  <r>
    <x v="2"/>
  </r>
  <r>
    <x v="2"/>
  </r>
  <r>
    <x v="0"/>
  </r>
  <r>
    <x v="2"/>
  </r>
  <r>
    <x v="2"/>
  </r>
  <r>
    <x v="0"/>
  </r>
  <r>
    <x v="0"/>
  </r>
  <r>
    <x v="1"/>
  </r>
  <r>
    <x v="2"/>
  </r>
  <r>
    <x v="3"/>
  </r>
  <r>
    <x v="2"/>
  </r>
  <r>
    <x v="2"/>
  </r>
  <r>
    <x v="0"/>
  </r>
  <r>
    <x v="1"/>
  </r>
  <r>
    <x v="0"/>
  </r>
  <r>
    <x v="2"/>
  </r>
  <r>
    <x v="2"/>
  </r>
  <r>
    <x v="2"/>
  </r>
  <r>
    <x v="0"/>
  </r>
  <r>
    <x v="3"/>
  </r>
  <r>
    <x v="0"/>
  </r>
  <r>
    <x v="0"/>
  </r>
  <r>
    <x v="0"/>
  </r>
  <r>
    <x v="2"/>
  </r>
  <r>
    <x v="2"/>
  </r>
  <r>
    <x v="1"/>
  </r>
  <r>
    <x v="2"/>
  </r>
  <r>
    <x v="1"/>
  </r>
  <r>
    <x v="3"/>
  </r>
  <r>
    <x v="0"/>
  </r>
  <r>
    <x v="0"/>
  </r>
  <r>
    <x v="2"/>
  </r>
  <r>
    <x v="2"/>
  </r>
  <r>
    <x v="2"/>
  </r>
  <r>
    <x v="0"/>
  </r>
  <r>
    <x v="2"/>
  </r>
  <r>
    <x v="2"/>
  </r>
  <r>
    <x v="0"/>
  </r>
  <r>
    <x v="0"/>
  </r>
  <r>
    <x v="1"/>
  </r>
  <r>
    <x v="0"/>
  </r>
  <r>
    <x v="0"/>
  </r>
  <r>
    <x v="0"/>
  </r>
  <r>
    <x v="2"/>
  </r>
  <r>
    <x v="2"/>
  </r>
  <r>
    <x v="1"/>
  </r>
  <r>
    <x v="2"/>
  </r>
  <r>
    <x v="0"/>
  </r>
  <r>
    <x v="1"/>
  </r>
  <r>
    <x v="1"/>
  </r>
  <r>
    <x v="0"/>
  </r>
  <r>
    <x v="1"/>
  </r>
  <r>
    <x v="0"/>
  </r>
  <r>
    <x v="2"/>
  </r>
  <r>
    <x v="3"/>
  </r>
  <r>
    <x v="0"/>
  </r>
  <r>
    <x v="0"/>
  </r>
  <r>
    <x v="1"/>
  </r>
  <r>
    <x v="3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3"/>
  </r>
  <r>
    <x v="2"/>
  </r>
  <r>
    <x v="2"/>
  </r>
  <r>
    <x v="0"/>
  </r>
  <r>
    <x v="1"/>
  </r>
  <r>
    <x v="0"/>
  </r>
  <r>
    <x v="2"/>
  </r>
  <r>
    <x v="1"/>
  </r>
  <r>
    <x v="0"/>
  </r>
  <r>
    <x v="3"/>
  </r>
  <r>
    <x v="2"/>
  </r>
  <r>
    <x v="2"/>
  </r>
  <r>
    <x v="1"/>
  </r>
  <r>
    <x v="0"/>
  </r>
  <r>
    <x v="2"/>
  </r>
  <r>
    <x v="3"/>
  </r>
  <r>
    <x v="0"/>
  </r>
  <r>
    <x v="3"/>
  </r>
  <r>
    <x v="0"/>
  </r>
  <r>
    <x v="0"/>
  </r>
  <r>
    <x v="3"/>
  </r>
  <r>
    <x v="2"/>
  </r>
  <r>
    <x v="1"/>
  </r>
  <r>
    <x v="1"/>
  </r>
  <r>
    <x v="2"/>
  </r>
  <r>
    <x v="2"/>
  </r>
  <r>
    <x v="2"/>
  </r>
  <r>
    <x v="0"/>
  </r>
  <r>
    <x v="0"/>
  </r>
  <r>
    <x v="3"/>
  </r>
  <r>
    <x v="1"/>
  </r>
  <r>
    <x v="2"/>
  </r>
  <r>
    <x v="1"/>
  </r>
  <r>
    <x v="1"/>
  </r>
  <r>
    <x v="2"/>
  </r>
  <r>
    <x v="2"/>
  </r>
  <r>
    <x v="3"/>
  </r>
  <r>
    <x v="0"/>
  </r>
  <r>
    <x v="0"/>
  </r>
  <r>
    <x v="1"/>
  </r>
  <r>
    <x v="2"/>
  </r>
  <r>
    <x v="0"/>
  </r>
  <r>
    <x v="2"/>
  </r>
  <r>
    <x v="3"/>
  </r>
  <r>
    <x v="1"/>
  </r>
  <r>
    <x v="1"/>
  </r>
  <r>
    <x v="0"/>
  </r>
  <r>
    <x v="3"/>
  </r>
  <r>
    <x v="0"/>
  </r>
  <r>
    <x v="2"/>
  </r>
  <r>
    <x v="3"/>
  </r>
  <r>
    <x v="1"/>
  </r>
  <r>
    <x v="2"/>
  </r>
  <r>
    <x v="0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TEM393"/>
    <s v="Tube"/>
    <s v="Finished Goods"/>
    <x v="0"/>
    <n v="862"/>
    <n v="498"/>
    <n v="20"/>
    <n v="12"/>
    <n v="462.26"/>
    <n v="0.14000000000000001"/>
    <n v="775"/>
    <n v="0.85"/>
    <n v="9"/>
    <n v="16.600000000000001"/>
    <n v="16.600000000000001"/>
    <n v="4.0160642570281124E-2"/>
    <s v="Stable"/>
    <n v="69.282032302755084"/>
    <n v="97.882032302755078"/>
    <n v="764.11796769724492"/>
    <s v=" Safe"/>
    <n v="5976"/>
    <n v="2762465.76"/>
    <m/>
    <n v="6.1934537429758039E-3"/>
    <n v="6.1934537429758039E-3"/>
    <s v="A"/>
    <s v="X"/>
    <s v="AX"/>
    <s v="Strict Control"/>
    <s v="Daily"/>
    <s v="Strict Replenishment"/>
    <s v="Low"/>
    <n v="60"/>
    <x v="0"/>
  </r>
  <r>
    <s v="ITEM251"/>
    <s v="Pipe A"/>
    <s v="Finished Goods"/>
    <x v="1"/>
    <n v="64"/>
    <n v="464"/>
    <n v="45"/>
    <n v="19"/>
    <n v="495.66"/>
    <n v="0.12"/>
    <n v="503"/>
    <n v="0.8"/>
    <n v="1"/>
    <n v="15.466666666666667"/>
    <n v="15.466666666666667"/>
    <n v="9.6982758620689655E-2"/>
    <s v="Stable"/>
    <n v="196.15045245933032"/>
    <n v="230.61711912599699"/>
    <n v="-166.61711912599699"/>
    <s v=" Need to Order"/>
    <n v="5568"/>
    <n v="2759834.8800000004"/>
    <n v="446029933.31999958"/>
    <n v="6.1875553047691647E-3"/>
    <n v="1.238100904774497E-2"/>
    <s v="A"/>
    <s v="X"/>
    <s v="AX"/>
    <s v="Strict Control"/>
    <s v="Daily"/>
    <s v="Strict Replenishment"/>
    <s v="Low"/>
    <n v="40"/>
    <x v="1"/>
  </r>
  <r>
    <s v="ITEM286"/>
    <s v="Valve"/>
    <s v="Finished Goods"/>
    <x v="1"/>
    <n v="785"/>
    <n v="487"/>
    <n v="80"/>
    <n v="24"/>
    <n v="471.92"/>
    <n v="0.15"/>
    <n v="176"/>
    <n v="0.86"/>
    <n v="6"/>
    <n v="16.233333333333334"/>
    <n v="16.233333333333334"/>
    <n v="0.16427104722792607"/>
    <s v="Stable"/>
    <n v="391.91835884530849"/>
    <n v="432.15169217864184"/>
    <n v="352.84830782135816"/>
    <s v=" Risk"/>
    <n v="5844"/>
    <n v="2757900.48"/>
    <m/>
    <n v="6.1832183761114812E-3"/>
    <n v="1.8564227423856453E-2"/>
    <s v="A"/>
    <s v="X"/>
    <s v="AX"/>
    <s v="Strict Control"/>
    <s v="Daily"/>
    <s v="Strict Replenishment"/>
    <s v="Low"/>
    <n v="50"/>
    <x v="2"/>
  </r>
  <r>
    <s v="ITEM326"/>
    <s v="Valve"/>
    <s v="Finished Goods"/>
    <x v="1"/>
    <n v="510"/>
    <n v="455"/>
    <n v="91"/>
    <n v="26"/>
    <n v="495.37"/>
    <n v="0.08"/>
    <n v="994"/>
    <n v="0.8"/>
    <n v="10"/>
    <n v="15.166666666666666"/>
    <n v="15.166666666666666"/>
    <n v="0.2"/>
    <s v="Moderate"/>
    <n v="464.0107757369434"/>
    <n v="505.17744240361009"/>
    <n v="4.8225575963899132"/>
    <s v=" Risk"/>
    <n v="5460"/>
    <n v="2704720.2"/>
    <m/>
    <n v="6.0639880822965456E-3"/>
    <n v="2.4628215506152996E-2"/>
    <s v="A"/>
    <s v="X"/>
    <s v="AX"/>
    <s v="Strict Control"/>
    <s v="Daily"/>
    <s v="Strict Replenishment"/>
    <s v="Low"/>
    <n v="60"/>
    <x v="0"/>
  </r>
  <r>
    <s v="ITEM239"/>
    <s v="Valve"/>
    <s v="Finished Goods"/>
    <x v="2"/>
    <n v="620"/>
    <n v="473"/>
    <n v="33"/>
    <n v="11"/>
    <n v="476.13"/>
    <n v="0.24"/>
    <n v="654"/>
    <n v="0.92"/>
    <n v="1"/>
    <n v="15.766666666666667"/>
    <n v="15.766666666666667"/>
    <n v="6.9767441860465115E-2"/>
    <s v="Stable"/>
    <n v="109.4486180817282"/>
    <n v="136.21528474839488"/>
    <n v="483.78471525160512"/>
    <s v=" Safe"/>
    <n v="5676"/>
    <n v="2702513.88"/>
    <m/>
    <n v="6.0590415084565844E-3"/>
    <n v="3.068725701460958E-2"/>
    <s v="A"/>
    <s v="X"/>
    <s v="AX"/>
    <s v="Strict Control"/>
    <s v="Daily"/>
    <s v="Strict Replenishment"/>
    <s v="Low"/>
    <n v="40"/>
    <x v="1"/>
  </r>
  <r>
    <s v="ITEM108"/>
    <s v="Connector"/>
    <s v="Finished Goods"/>
    <x v="0"/>
    <n v="286"/>
    <n v="484"/>
    <n v="79"/>
    <n v="25"/>
    <n v="459.6"/>
    <n v="0.14000000000000001"/>
    <n v="663"/>
    <n v="0.85"/>
    <n v="8"/>
    <n v="16.133333333333333"/>
    <n v="16.133333333333333"/>
    <n v="0.16322314049586778"/>
    <s v="Stable"/>
    <n v="395"/>
    <n v="436.13333333333333"/>
    <n v="-150.13333333333333"/>
    <s v=" Need to Order"/>
    <n v="5808"/>
    <n v="2669356.8000000003"/>
    <m/>
    <n v="5.9847032689729768E-3"/>
    <n v="3.6671960283582557E-2"/>
    <s v="A"/>
    <s v="X"/>
    <s v="AX"/>
    <s v="Strict Control"/>
    <s v="Daily"/>
    <s v="Strict Replenishment"/>
    <s v="Low"/>
    <n v="60"/>
    <x v="0"/>
  </r>
  <r>
    <s v="ITEM329"/>
    <s v="Flange"/>
    <s v="Finished Goods"/>
    <x v="0"/>
    <n v="76"/>
    <n v="474"/>
    <n v="71"/>
    <n v="26"/>
    <n v="467.82"/>
    <n v="0.24"/>
    <n v="195"/>
    <n v="0.97"/>
    <n v="7"/>
    <n v="15.8"/>
    <n v="15.8"/>
    <n v="0.14978902953586498"/>
    <s v="Stable"/>
    <n v="362.0303854650877"/>
    <n v="403.83038546508772"/>
    <n v="-327.83038546508772"/>
    <s v=" Need to Order"/>
    <n v="5688"/>
    <n v="2660960.16"/>
    <m/>
    <n v="5.9658779853479513E-3"/>
    <n v="4.2637838268930507E-2"/>
    <s v="A"/>
    <s v="X"/>
    <s v="AX"/>
    <s v="Strict Control"/>
    <s v="Daily"/>
    <s v="Strict Replenishment"/>
    <s v="Low"/>
    <n v="50"/>
    <x v="2"/>
  </r>
  <r>
    <s v="ITEM453"/>
    <s v="Pipe B"/>
    <s v="Raw Material"/>
    <x v="1"/>
    <n v="51"/>
    <n v="451"/>
    <n v="48"/>
    <n v="19"/>
    <n v="473.43"/>
    <n v="0.13"/>
    <n v="704"/>
    <n v="0.94"/>
    <n v="9"/>
    <n v="15.033333333333333"/>
    <n v="15.033333333333333"/>
    <n v="0.10643015521064302"/>
    <s v="Stable"/>
    <n v="209.22714928995237"/>
    <n v="243.2604826232857"/>
    <n v="-192.2604826232857"/>
    <s v=" Need to Order"/>
    <n v="5412"/>
    <n v="2562203.16"/>
    <m/>
    <n v="5.7444645944015015E-3"/>
    <n v="4.8382302863332005E-2"/>
    <s v="A"/>
    <s v="X"/>
    <s v="AX"/>
    <s v="Strict Control"/>
    <s v="Daily"/>
    <s v="Strict Replenishment"/>
    <s v="Low"/>
    <n v="60"/>
    <x v="0"/>
  </r>
  <r>
    <s v="ITEM175"/>
    <s v="Flange"/>
    <s v="Raw Material"/>
    <x v="3"/>
    <n v="184"/>
    <n v="474"/>
    <n v="26"/>
    <n v="22"/>
    <n v="441.51"/>
    <n v="0.08"/>
    <n v="855"/>
    <n v="0.92"/>
    <n v="2"/>
    <n v="15.8"/>
    <n v="15.8"/>
    <n v="5.4852320675105488E-2"/>
    <s v="Stable"/>
    <n v="121.95080975540917"/>
    <n v="159.75080975540916"/>
    <n v="24.249190244590835"/>
    <s v=" Risk"/>
    <n v="5688"/>
    <n v="2511308.88"/>
    <m/>
    <n v="5.6303595171454269E-3"/>
    <n v="5.401266238047743E-2"/>
    <s v="A"/>
    <s v="X"/>
    <s v="AX"/>
    <s v="Strict Control"/>
    <s v="Daily"/>
    <s v="Strict Replenishment"/>
    <s v="Low"/>
    <n v="40"/>
    <x v="1"/>
  </r>
  <r>
    <s v="ITEM010"/>
    <s v="Sheet"/>
    <s v="Raw Material"/>
    <x v="2"/>
    <n v="101"/>
    <n v="467"/>
    <n v="24"/>
    <n v="10"/>
    <n v="446.93"/>
    <n v="0.22"/>
    <n v="169"/>
    <n v="0.91"/>
    <n v="8"/>
    <n v="15.566666666666666"/>
    <n v="15.566666666666666"/>
    <n v="5.1391862955032119E-2"/>
    <s v="Stable"/>
    <n v="75.894663844041105"/>
    <n v="101.46133051070777"/>
    <n v="-0.46133051070776787"/>
    <s v=" Need to Order"/>
    <n v="5604"/>
    <n v="2504595.7200000002"/>
    <m/>
    <n v="5.6153085990376878E-3"/>
    <n v="5.9627970979515117E-2"/>
    <s v="A"/>
    <s v="X"/>
    <s v="AX"/>
    <s v="Strict Control"/>
    <s v="Daily"/>
    <s v="Strict Replenishment"/>
    <s v="Low"/>
    <n v="60"/>
    <x v="0"/>
  </r>
  <r>
    <s v="ITEM234"/>
    <s v="Sheet"/>
    <s v="Finished Goods"/>
    <x v="2"/>
    <n v="555"/>
    <n v="467"/>
    <n v="45"/>
    <n v="29"/>
    <n v="446.8"/>
    <n v="0.21"/>
    <n v="121"/>
    <n v="0.94"/>
    <n v="3"/>
    <n v="15.566666666666666"/>
    <n v="15.566666666666666"/>
    <n v="9.6359743040685231E-2"/>
    <s v="Stable"/>
    <n v="242.33241632105268"/>
    <n v="286.89908298771934"/>
    <n v="268.10091701228066"/>
    <s v=" Safe"/>
    <n v="5604"/>
    <n v="2503867.2000000002"/>
    <m/>
    <n v="5.6136752557448344E-3"/>
    <n v="6.5241646235259951E-2"/>
    <s v="A"/>
    <s v="X"/>
    <s v="AX"/>
    <s v="Strict Control"/>
    <s v="Daily"/>
    <s v="Strict Replenishment"/>
    <s v="Low"/>
    <n v="40"/>
    <x v="1"/>
  </r>
  <r>
    <s v="ITEM099"/>
    <s v="Valve"/>
    <s v="Finished Goods"/>
    <x v="4"/>
    <n v="891"/>
    <n v="423"/>
    <n v="97"/>
    <n v="24"/>
    <n v="488.86"/>
    <n v="0.05"/>
    <n v="190"/>
    <n v="0.88"/>
    <n v="8"/>
    <n v="14.1"/>
    <n v="14.1"/>
    <n v="0.2293144208037825"/>
    <s v="Moderate"/>
    <n v="475.20101009993652"/>
    <n v="513.30101009993655"/>
    <n v="377.69898990006345"/>
    <s v=" Risk"/>
    <n v="5076"/>
    <n v="2481453.36"/>
    <m/>
    <n v="5.5634233817659648E-3"/>
    <n v="7.0805069617025915E-2"/>
    <s v="A"/>
    <s v="Y"/>
    <s v="AY"/>
    <s v="Frequent Monitoring"/>
    <s v="Every 2 Days"/>
    <s v="Frequent Monitoring"/>
    <s v="High"/>
    <n v="70"/>
    <x v="3"/>
  </r>
  <r>
    <s v="ITEM390"/>
    <s v="Rod"/>
    <s v="Finished Goods"/>
    <x v="2"/>
    <n v="120"/>
    <n v="439"/>
    <n v="75"/>
    <n v="19"/>
    <n v="470.43"/>
    <n v="7.0000000000000007E-2"/>
    <n v="907"/>
    <n v="0.84"/>
    <n v="6"/>
    <n v="14.633333333333333"/>
    <n v="14.633333333333333"/>
    <n v="0.17084282460136674"/>
    <s v="Stable"/>
    <n v="326.91742076555056"/>
    <n v="360.55075409888389"/>
    <n v="-240.55075409888389"/>
    <s v=" Need to Order"/>
    <n v="5268"/>
    <n v="2478225.2400000002"/>
    <m/>
    <n v="5.5561859302882778E-3"/>
    <n v="7.6361255547314197E-2"/>
    <s v="A"/>
    <s v="X"/>
    <s v="AX"/>
    <s v="Strict Control"/>
    <s v="Daily"/>
    <s v="Strict Replenishment"/>
    <s v="Low"/>
    <n v="50"/>
    <x v="2"/>
  </r>
  <r>
    <s v="ITEM106"/>
    <s v="Flange"/>
    <s v="Finished Goods"/>
    <x v="1"/>
    <n v="243"/>
    <n v="438"/>
    <n v="78"/>
    <n v="22"/>
    <n v="465.84"/>
    <n v="0.12"/>
    <n v="341"/>
    <n v="0.71"/>
    <n v="7"/>
    <n v="14.6"/>
    <n v="14.6"/>
    <n v="0.17808219178082191"/>
    <s v="Stable"/>
    <n v="365.85242926622755"/>
    <n v="402.45242926622757"/>
    <n v="-159.45242926622757"/>
    <s v=" Need to Order"/>
    <n v="5256"/>
    <n v="2448455.04"/>
    <m/>
    <n v="5.4894410825189642E-3"/>
    <n v="8.1850696629833158E-2"/>
    <s v="A"/>
    <s v="X"/>
    <s v="AX"/>
    <s v="Strict Control"/>
    <s v="Daily"/>
    <s v="Strict Replenishment"/>
    <s v="Low"/>
    <n v="50"/>
    <x v="2"/>
  </r>
  <r>
    <s v="ITEM309"/>
    <s v="Connector"/>
    <s v="Finished Goods"/>
    <x v="0"/>
    <n v="51"/>
    <n v="458"/>
    <n v="51"/>
    <n v="10"/>
    <n v="437.88"/>
    <n v="0.21"/>
    <n v="278"/>
    <n v="0.71"/>
    <n v="3"/>
    <n v="15.266666666666667"/>
    <n v="15.266666666666667"/>
    <n v="0.11135371179039301"/>
    <s v="Stable"/>
    <n v="161.27616066858735"/>
    <n v="186.542827335254"/>
    <n v="-135.542827335254"/>
    <s v=" Need to Order"/>
    <n v="5496"/>
    <n v="2406588.48"/>
    <m/>
    <n v="5.3955761715064488E-3"/>
    <n v="8.7246272801339605E-2"/>
    <s v="A"/>
    <s v="X"/>
    <s v="AX"/>
    <s v="Strict Control"/>
    <s v="Daily"/>
    <s v="Strict Replenishment"/>
    <s v="Low"/>
    <n v="40"/>
    <x v="1"/>
  </r>
  <r>
    <s v="ITEM428"/>
    <s v="Connector"/>
    <s v="Finished Goods"/>
    <x v="3"/>
    <n v="444"/>
    <n v="437"/>
    <n v="67"/>
    <n v="5"/>
    <n v="457.05"/>
    <n v="0.06"/>
    <n v="923"/>
    <n v="0.79"/>
    <n v="10"/>
    <n v="14.566666666666666"/>
    <n v="14.566666666666666"/>
    <n v="0.15331807780320367"/>
    <s v="Stable"/>
    <n v="149.81655449248592"/>
    <n v="169.38322115915258"/>
    <n v="274.61677884084742"/>
    <s v=" Safe"/>
    <n v="5244"/>
    <n v="2396770.2000000002"/>
    <m/>
    <n v="5.3735635681663139E-3"/>
    <n v="9.2619836369505923E-2"/>
    <s v="A"/>
    <s v="X"/>
    <s v="AX"/>
    <s v="Strict Control"/>
    <s v="Daily"/>
    <s v="Strict Replenishment"/>
    <s v="Low"/>
    <n v="60"/>
    <x v="0"/>
  </r>
  <r>
    <s v="ITEM374"/>
    <s v="Connector"/>
    <s v="Raw Material"/>
    <x v="4"/>
    <n v="273"/>
    <n v="443"/>
    <n v="12"/>
    <n v="12"/>
    <n v="449.19"/>
    <n v="0.18"/>
    <n v="119"/>
    <n v="0.92"/>
    <n v="10"/>
    <n v="14.766666666666667"/>
    <n v="14.766666666666667"/>
    <n v="2.7088036117381489E-2"/>
    <s v="Stable"/>
    <n v="41.569219381653056"/>
    <n v="68.335886048319722"/>
    <n v="204.66411395168029"/>
    <s v=" Safe"/>
    <n v="5316"/>
    <n v="2387894.04"/>
    <m/>
    <n v="5.3536631997450051E-3"/>
    <n v="9.797349956925093E-2"/>
    <s v="A"/>
    <s v="X"/>
    <s v="AX"/>
    <s v="Strict Control"/>
    <s v="Daily"/>
    <s v="Strict Replenishment"/>
    <s v="Low"/>
    <n v="60"/>
    <x v="0"/>
  </r>
  <r>
    <s v="ITEM183"/>
    <s v="Tube"/>
    <s v="Raw Material"/>
    <x v="2"/>
    <n v="743"/>
    <n v="413"/>
    <n v="76"/>
    <n v="13"/>
    <n v="481.7"/>
    <n v="0.2"/>
    <n v="732"/>
    <n v="0.71"/>
    <n v="2"/>
    <n v="13.766666666666667"/>
    <n v="13.766666666666667"/>
    <n v="0.18401937046004843"/>
    <s v="Stable"/>
    <n v="274.02189693526316"/>
    <n v="300.78856360192981"/>
    <n v="442.21143639807019"/>
    <s v=" Safe"/>
    <n v="4956"/>
    <n v="2387305.1999999997"/>
    <m/>
    <n v="5.3523430192907078E-3"/>
    <n v="0.10332584258854163"/>
    <s v="A"/>
    <s v="X"/>
    <s v="AX"/>
    <s v="Strict Control"/>
    <s v="Daily"/>
    <s v="Strict Replenishment"/>
    <s v="Low"/>
    <n v="40"/>
    <x v="1"/>
  </r>
  <r>
    <s v="ITEM312"/>
    <s v="Pipe A"/>
    <s v="Raw Material"/>
    <x v="4"/>
    <n v="389"/>
    <n v="443"/>
    <n v="28"/>
    <n v="23"/>
    <n v="445.09"/>
    <n v="0.15"/>
    <n v="973"/>
    <n v="0.82"/>
    <n v="4"/>
    <n v="14.766666666666667"/>
    <n v="14.766666666666667"/>
    <n v="6.320541760722348E-2"/>
    <s v="Stable"/>
    <n v="134.28328265275613"/>
    <n v="172.04994931942281"/>
    <n v="216.95005068057719"/>
    <s v=" Safe"/>
    <n v="5316"/>
    <n v="2366098.44"/>
    <m/>
    <n v="5.3047974210790622E-3"/>
    <n v="0.10863064000962069"/>
    <s v="A"/>
    <s v="X"/>
    <s v="AX"/>
    <s v="Strict Control"/>
    <s v="Daily"/>
    <s v="Strict Replenishment"/>
    <s v="Low"/>
    <n v="40"/>
    <x v="1"/>
  </r>
  <r>
    <s v="ITEM120"/>
    <s v="Valve"/>
    <s v="Raw Material"/>
    <x v="2"/>
    <n v="663"/>
    <n v="475"/>
    <n v="55"/>
    <n v="24"/>
    <n v="410.63"/>
    <n v="0.1"/>
    <n v="448"/>
    <n v="0.85"/>
    <n v="3"/>
    <n v="15.833333333333334"/>
    <n v="15.833333333333334"/>
    <n v="0.11578947368421053"/>
    <s v="Stable"/>
    <n v="269.44387170614959"/>
    <n v="309.27720503948291"/>
    <n v="353.72279496051709"/>
    <s v=" Safe"/>
    <n v="5700"/>
    <n v="2340591"/>
    <m/>
    <n v="5.2476096897307719E-3"/>
    <n v="0.11387824969935147"/>
    <s v="A"/>
    <s v="X"/>
    <s v="AX"/>
    <s v="Strict Control"/>
    <s v="Daily"/>
    <s v="Strict Replenishment"/>
    <s v="Low"/>
    <n v="40"/>
    <x v="1"/>
  </r>
  <r>
    <s v="ITEM421"/>
    <s v="Valve"/>
    <s v="Finished Goods"/>
    <x v="4"/>
    <n v="137"/>
    <n v="463"/>
    <n v="71"/>
    <n v="7"/>
    <n v="414.53"/>
    <n v="0.21"/>
    <n v="164"/>
    <n v="0.72"/>
    <n v="4"/>
    <n v="15.433333333333334"/>
    <n v="15.433333333333334"/>
    <n v="0.15334773218142547"/>
    <s v="Stable"/>
    <n v="187.84834308558595"/>
    <n v="210.28167641891929"/>
    <n v="-73.28167641891929"/>
    <s v=" Need to Order"/>
    <n v="5556"/>
    <n v="2303128.6799999997"/>
    <m/>
    <n v="5.1636190935814251E-3"/>
    <n v="0.1190418687929329"/>
    <s v="A"/>
    <s v="X"/>
    <s v="AX"/>
    <s v="Strict Control"/>
    <s v="Daily"/>
    <s v="Strict Replenishment"/>
    <s v="Low"/>
    <n v="40"/>
    <x v="1"/>
  </r>
  <r>
    <s v="ITEM471"/>
    <s v="Pipe B"/>
    <s v="Raw Material"/>
    <x v="0"/>
    <n v="118"/>
    <n v="500"/>
    <n v="58"/>
    <n v="23"/>
    <n v="379.73"/>
    <n v="0.12"/>
    <n v="282"/>
    <n v="0.92"/>
    <n v="6"/>
    <n v="16.666666666666668"/>
    <n v="16.666666666666668"/>
    <n v="0.11600000000000001"/>
    <s v="Stable"/>
    <n v="278.15822835213771"/>
    <n v="317.8248950188044"/>
    <n v="-199.8248950188044"/>
    <s v=" Need to Order"/>
    <n v="6000"/>
    <n v="2278380"/>
    <m/>
    <n v="5.1081325036662949E-3"/>
    <n v="0.12415000129659919"/>
    <s v="A"/>
    <s v="X"/>
    <s v="AX"/>
    <s v="Strict Control"/>
    <s v="Daily"/>
    <s v="Strict Replenishment"/>
    <s v="Low"/>
    <n v="50"/>
    <x v="2"/>
  </r>
  <r>
    <s v="ITEM217"/>
    <s v="Pipe A"/>
    <s v="Raw Material"/>
    <x v="3"/>
    <n v="78"/>
    <n v="427"/>
    <n v="12"/>
    <n v="29"/>
    <n v="443.39"/>
    <n v="0.23"/>
    <n v="272"/>
    <n v="0.97"/>
    <n v="5"/>
    <n v="14.233333333333333"/>
    <n v="14.233333333333333"/>
    <n v="2.8103044496487119E-2"/>
    <s v="Stable"/>
    <n v="64.621977685614041"/>
    <n v="107.85531101894738"/>
    <n v="-29.855311018947376"/>
    <s v=" Need to Order"/>
    <n v="5124"/>
    <n v="2271930.36"/>
    <m/>
    <n v="5.0936723979240804E-3"/>
    <n v="0.12924367369452328"/>
    <s v="A"/>
    <s v="X"/>
    <s v="AX"/>
    <s v="Strict Control"/>
    <s v="Daily"/>
    <s v="Strict Replenishment"/>
    <s v="Low"/>
    <n v="50"/>
    <x v="2"/>
  </r>
  <r>
    <s v="ITEM276"/>
    <s v="Sheet"/>
    <s v="Raw Material"/>
    <x v="3"/>
    <n v="874"/>
    <n v="392"/>
    <n v="33"/>
    <n v="19"/>
    <n v="480.96"/>
    <n v="0.09"/>
    <n v="342"/>
    <n v="0.84"/>
    <n v="8"/>
    <n v="13.066666666666666"/>
    <n v="13.066666666666666"/>
    <n v="8.4183673469387751E-2"/>
    <s v="Stable"/>
    <n v="143.84366513684225"/>
    <n v="175.91033180350891"/>
    <n v="698.08966819649106"/>
    <s v=" Safe"/>
    <n v="4704"/>
    <n v="2262435.8399999999"/>
    <m/>
    <n v="5.0723856651496042E-3"/>
    <n v="0.13431605935967289"/>
    <s v="A"/>
    <s v="X"/>
    <s v="AX"/>
    <s v="Strict Control"/>
    <s v="Daily"/>
    <s v="Strict Replenishment"/>
    <s v="Low"/>
    <n v="60"/>
    <x v="0"/>
  </r>
  <r>
    <s v="ITEM069"/>
    <s v="Pipe A"/>
    <s v="Raw Material"/>
    <x v="4"/>
    <n v="676"/>
    <n v="412"/>
    <n v="66"/>
    <n v="24"/>
    <n v="455.33"/>
    <n v="0.14000000000000001"/>
    <n v="931"/>
    <n v="0.82"/>
    <n v="2"/>
    <n v="13.733333333333333"/>
    <n v="13.733333333333333"/>
    <n v="0.16019417475728157"/>
    <s v="Stable"/>
    <n v="323.33264604737946"/>
    <n v="361.0659793807128"/>
    <n v="314.9340206192872"/>
    <s v=" Risk"/>
    <n v="4944"/>
    <n v="2251151.52"/>
    <m/>
    <n v="5.0470861972058152E-3"/>
    <n v="0.1393631455568787"/>
    <s v="A"/>
    <s v="X"/>
    <s v="AX"/>
    <s v="Strict Control"/>
    <s v="Daily"/>
    <s v="Strict Replenishment"/>
    <s v="Low"/>
    <n v="40"/>
    <x v="1"/>
  </r>
  <r>
    <s v="ITEM057"/>
    <s v="Flange"/>
    <s v="Raw Material"/>
    <x v="2"/>
    <n v="707"/>
    <n v="465"/>
    <n v="40"/>
    <n v="20"/>
    <n v="401.21"/>
    <n v="7.0000000000000007E-2"/>
    <n v="775"/>
    <n v="0.97"/>
    <n v="10"/>
    <n v="15.5"/>
    <n v="15.5"/>
    <n v="8.6021505376344093E-2"/>
    <s v="Stable"/>
    <n v="178.88543819998318"/>
    <n v="214.38543819998318"/>
    <n v="492.61456180001682"/>
    <s v=" Safe"/>
    <n v="5580"/>
    <n v="2238751.7999999998"/>
    <m/>
    <n v="5.019286000237635E-3"/>
    <n v="0.14438243155711633"/>
    <s v="A"/>
    <s v="X"/>
    <s v="AX"/>
    <s v="Strict Control"/>
    <s v="Daily"/>
    <s v="Strict Replenishment"/>
    <s v="Low"/>
    <n v="60"/>
    <x v="0"/>
  </r>
  <r>
    <s v="ITEM303"/>
    <s v="Sheet"/>
    <s v="Finished Goods"/>
    <x v="1"/>
    <n v="463"/>
    <n v="413"/>
    <n v="79"/>
    <n v="9"/>
    <n v="444.62"/>
    <n v="7.0000000000000007E-2"/>
    <n v="254"/>
    <n v="0.79"/>
    <n v="9"/>
    <n v="13.766666666666667"/>
    <n v="13.766666666666667"/>
    <n v="0.19128329297820823"/>
    <s v="Stable"/>
    <n v="237"/>
    <n v="259.76666666666665"/>
    <n v="203.23333333333335"/>
    <s v=" Risk"/>
    <n v="4956"/>
    <n v="2203536.7200000002"/>
    <m/>
    <n v="4.9403337206498548E-3"/>
    <n v="0.1493227652777662"/>
    <s v="A"/>
    <s v="X"/>
    <s v="AX"/>
    <s v="Strict Control"/>
    <s v="Daily"/>
    <s v="Strict Replenishment"/>
    <s v="Low"/>
    <n v="60"/>
    <x v="0"/>
  </r>
  <r>
    <s v="ITEM098"/>
    <s v="Flange"/>
    <s v="Raw Material"/>
    <x v="3"/>
    <n v="678"/>
    <n v="381"/>
    <n v="34"/>
    <n v="21"/>
    <n v="476.57"/>
    <n v="0.25"/>
    <n v="505"/>
    <n v="0.91"/>
    <n v="6"/>
    <n v="12.7"/>
    <n v="12.7"/>
    <n v="8.9238845144356954E-2"/>
    <s v="Stable"/>
    <n v="155.80757362849855"/>
    <n v="189.50757362849856"/>
    <n v="488.49242637150144"/>
    <s v=" Safe"/>
    <n v="4572"/>
    <n v="2178878.04"/>
    <m/>
    <n v="4.8850489109142064E-3"/>
    <n v="0.1542078141886804"/>
    <s v="A"/>
    <s v="X"/>
    <s v="AX"/>
    <s v="Strict Control"/>
    <s v="Daily"/>
    <s v="Strict Replenishment"/>
    <s v="Low"/>
    <n v="50"/>
    <x v="2"/>
  </r>
  <r>
    <s v="ITEM472"/>
    <s v="Pipe A"/>
    <s v="Finished Goods"/>
    <x v="4"/>
    <n v="128"/>
    <n v="470"/>
    <n v="6"/>
    <n v="15"/>
    <n v="382.36"/>
    <n v="0.19"/>
    <n v="309"/>
    <n v="0.7"/>
    <n v="3"/>
    <n v="15.666666666666666"/>
    <n v="15.666666666666666"/>
    <n v="1.276595744680851E-2"/>
    <s v="Stable"/>
    <n v="23.237900077244504"/>
    <n v="53.904566743911168"/>
    <n v="74.095433256088825"/>
    <s v=" Safe"/>
    <n v="5640"/>
    <n v="2156510.4"/>
    <m/>
    <n v="4.8349006174274716E-3"/>
    <n v="0.15904271480610788"/>
    <s v="A"/>
    <s v="X"/>
    <s v="AX"/>
    <s v="Strict Control"/>
    <s v="Daily"/>
    <s v="Strict Replenishment"/>
    <s v="Low"/>
    <n v="40"/>
    <x v="1"/>
  </r>
  <r>
    <s v="ITEM450"/>
    <s v="Rod"/>
    <s v="Raw Material"/>
    <x v="3"/>
    <n v="561"/>
    <n v="409"/>
    <n v="53"/>
    <n v="27"/>
    <n v="435.47"/>
    <n v="0.18"/>
    <n v="211"/>
    <n v="0.91"/>
    <n v="1"/>
    <n v="13.633333333333333"/>
    <n v="13.633333333333333"/>
    <n v="0.1295843520782396"/>
    <s v="Stable"/>
    <n v="275.3960784034515"/>
    <n v="316.02941173678482"/>
    <n v="244.97058826321518"/>
    <s v=" Risk"/>
    <n v="4908"/>
    <n v="2137286.7600000002"/>
    <m/>
    <n v="4.7918011782106694E-3"/>
    <n v="0.16383451598431856"/>
    <s v="A"/>
    <s v="X"/>
    <s v="AX"/>
    <s v="Strict Control"/>
    <s v="Daily"/>
    <s v="Strict Replenishment"/>
    <s v="Low"/>
    <n v="40"/>
    <x v="1"/>
  </r>
  <r>
    <s v="ITEM154"/>
    <s v="Pipe A"/>
    <s v="Finished Goods"/>
    <x v="3"/>
    <n v="72"/>
    <n v="419"/>
    <n v="64"/>
    <n v="21"/>
    <n v="420.85"/>
    <n v="0.14000000000000001"/>
    <n v="951"/>
    <n v="0.82"/>
    <n v="5"/>
    <n v="13.966666666666667"/>
    <n v="13.966666666666667"/>
    <n v="0.15274463007159905"/>
    <s v="Stable"/>
    <n v="293.28484447717375"/>
    <n v="328.25151114384039"/>
    <n v="-256.25151114384039"/>
    <s v=" Need to Order"/>
    <n v="5028"/>
    <n v="2116033.8000000003"/>
    <m/>
    <n v="4.744151999506889E-3"/>
    <n v="0.16857866798382545"/>
    <s v="A"/>
    <s v="X"/>
    <s v="AX"/>
    <s v="Strict Control"/>
    <s v="Daily"/>
    <s v="Strict Replenishment"/>
    <s v="Low"/>
    <n v="50"/>
    <x v="2"/>
  </r>
  <r>
    <s v="ITEM336"/>
    <s v="Pipe B"/>
    <s v="Finished Goods"/>
    <x v="1"/>
    <n v="743"/>
    <n v="398"/>
    <n v="35"/>
    <n v="24"/>
    <n v="442.05"/>
    <n v="0.16"/>
    <n v="887"/>
    <n v="0.73"/>
    <n v="6"/>
    <n v="13.266666666666667"/>
    <n v="13.266666666666667"/>
    <n v="8.7939698492462318E-2"/>
    <s v="Stable"/>
    <n v="171.46428199482244"/>
    <n v="208.73094866148909"/>
    <n v="534.26905133851096"/>
    <s v=" Safe"/>
    <n v="4776"/>
    <n v="2111230.8000000003"/>
    <m/>
    <n v="4.733383663928491E-3"/>
    <n v="0.17331205164775396"/>
    <s v="A"/>
    <s v="X"/>
    <s v="AX"/>
    <s v="Strict Control"/>
    <s v="Daily"/>
    <s v="Strict Replenishment"/>
    <s v="Low"/>
    <n v="50"/>
    <x v="2"/>
  </r>
  <r>
    <s v="ITEM495"/>
    <s v="Pipe A"/>
    <s v="Raw Material"/>
    <x v="2"/>
    <n v="739"/>
    <n v="391"/>
    <n v="56"/>
    <n v="9"/>
    <n v="443.6"/>
    <n v="0.09"/>
    <n v="183"/>
    <n v="0.98"/>
    <n v="9"/>
    <n v="13.033333333333333"/>
    <n v="13.033333333333333"/>
    <n v="0.14322250639386189"/>
    <s v="Stable"/>
    <n v="168"/>
    <n v="190.03333333333333"/>
    <n v="548.9666666666667"/>
    <s v=" Safe"/>
    <n v="4692"/>
    <n v="2081371.2000000002"/>
    <m/>
    <n v="4.6664383811808926E-3"/>
    <n v="0.17797849002893484"/>
    <s v="A"/>
    <s v="X"/>
    <s v="AX"/>
    <s v="Strict Control"/>
    <s v="Daily"/>
    <s v="Strict Replenishment"/>
    <s v="Low"/>
    <n v="60"/>
    <x v="0"/>
  </r>
  <r>
    <s v="ITEM074"/>
    <s v="Connector"/>
    <s v="Raw Material"/>
    <x v="0"/>
    <n v="679"/>
    <n v="397"/>
    <n v="54"/>
    <n v="25"/>
    <n v="435.11"/>
    <n v="0.06"/>
    <n v="270"/>
    <n v="0.82"/>
    <n v="9"/>
    <n v="13.233333333333333"/>
    <n v="13.233333333333333"/>
    <n v="0.13602015113350127"/>
    <s v="Stable"/>
    <n v="270"/>
    <n v="308.23333333333335"/>
    <n v="370.76666666666665"/>
    <s v=" Safe"/>
    <n v="4764"/>
    <n v="2072864.04"/>
    <m/>
    <n v="4.6473653114954619E-3"/>
    <n v="0.1826258553404303"/>
    <s v="A"/>
    <s v="X"/>
    <s v="AX"/>
    <s v="Strict Control"/>
    <s v="Daily"/>
    <s v="Strict Replenishment"/>
    <s v="Low"/>
    <n v="60"/>
    <x v="0"/>
  </r>
  <r>
    <s v="ITEM332"/>
    <s v="Valve"/>
    <s v="Raw Material"/>
    <x v="1"/>
    <n v="886"/>
    <n v="346"/>
    <n v="25"/>
    <n v="9"/>
    <n v="498.96"/>
    <n v="0.12"/>
    <n v="443"/>
    <n v="0.72"/>
    <n v="1"/>
    <n v="11.533333333333333"/>
    <n v="11.533333333333333"/>
    <n v="7.2254335260115612E-2"/>
    <s v="Stable"/>
    <n v="75"/>
    <n v="95.533333333333331"/>
    <n v="790.4666666666667"/>
    <s v=" Safe"/>
    <n v="4152"/>
    <n v="2071681.92"/>
    <m/>
    <n v="4.6447149960980151E-3"/>
    <n v="0.1872705703365283"/>
    <s v="A"/>
    <s v="X"/>
    <s v="AX"/>
    <s v="Strict Control"/>
    <s v="Daily"/>
    <s v="Strict Replenishment"/>
    <s v="Low"/>
    <n v="40"/>
    <x v="1"/>
  </r>
  <r>
    <s v="ITEM096"/>
    <s v="Connector"/>
    <s v="Raw Material"/>
    <x v="0"/>
    <n v="967"/>
    <n v="427"/>
    <n v="31"/>
    <n v="30"/>
    <n v="404.03"/>
    <n v="0.23"/>
    <n v="401"/>
    <n v="0.94"/>
    <n v="9"/>
    <n v="14.233333333333333"/>
    <n v="14.233333333333333"/>
    <n v="7.2599531615925056E-2"/>
    <s v="Stable"/>
    <n v="169.79399282660151"/>
    <n v="214.02732615993483"/>
    <n v="752.97267384006523"/>
    <s v=" Safe"/>
    <n v="5124"/>
    <n v="2070249.72"/>
    <m/>
    <n v="4.641504000841846E-3"/>
    <n v="0.19191207433737015"/>
    <s v="A"/>
    <s v="X"/>
    <s v="AX"/>
    <s v="Strict Control"/>
    <s v="Daily"/>
    <s v="Strict Replenishment"/>
    <s v="Low"/>
    <n v="60"/>
    <x v="0"/>
  </r>
  <r>
    <s v="ITEM304"/>
    <s v="Pipe A"/>
    <s v="Finished Goods"/>
    <x v="3"/>
    <n v="783"/>
    <n v="400"/>
    <n v="14"/>
    <n v="7"/>
    <n v="424.69"/>
    <n v="0.19"/>
    <n v="248"/>
    <n v="0.93"/>
    <n v="6"/>
    <n v="13.333333333333334"/>
    <n v="13.333333333333334"/>
    <n v="3.5000000000000003E-2"/>
    <s v="Stable"/>
    <n v="37.040518354904272"/>
    <n v="57.373851688237608"/>
    <n v="725.62614831176234"/>
    <s v=" Safe"/>
    <n v="4800"/>
    <n v="2038512"/>
    <m/>
    <n v="4.5703479693088014E-3"/>
    <n v="0.19648242230667895"/>
    <s v="A"/>
    <s v="X"/>
    <s v="AX"/>
    <s v="Strict Control"/>
    <s v="Daily"/>
    <s v="Strict Replenishment"/>
    <s v="Low"/>
    <n v="50"/>
    <x v="2"/>
  </r>
  <r>
    <s v="ITEM289"/>
    <s v="Connector"/>
    <s v="Raw Material"/>
    <x v="0"/>
    <n v="859"/>
    <n v="420"/>
    <n v="57"/>
    <n v="4"/>
    <n v="402.19"/>
    <n v="0.21"/>
    <n v="370"/>
    <n v="0.95"/>
    <n v="3"/>
    <n v="14"/>
    <n v="14"/>
    <n v="0.1357142857142857"/>
    <s v="Stable"/>
    <n v="114"/>
    <n v="132"/>
    <n v="727"/>
    <s v=" Safe"/>
    <n v="5040"/>
    <n v="2027037.6"/>
    <m/>
    <n v="4.5446223416259436E-3"/>
    <n v="0.2010270446483049"/>
    <s v="A"/>
    <s v="X"/>
    <s v="AX"/>
    <s v="Strict Control"/>
    <s v="Daily"/>
    <s v="Strict Replenishment"/>
    <s v="Low"/>
    <n v="40"/>
    <x v="1"/>
  </r>
  <r>
    <s v="ITEM059"/>
    <s v="Rod"/>
    <s v="Finished Goods"/>
    <x v="4"/>
    <n v="96"/>
    <n v="338"/>
    <n v="68"/>
    <n v="8"/>
    <n v="499.5"/>
    <n v="0.11"/>
    <n v="596"/>
    <n v="0.92"/>
    <n v="2"/>
    <n v="11.266666666666667"/>
    <n v="11.266666666666667"/>
    <n v="0.20118343195266272"/>
    <s v="Moderate"/>
    <n v="192.33304448274095"/>
    <n v="211.5997111494076"/>
    <n v="-115.5997111494076"/>
    <s v=" Need to Order"/>
    <n v="4056"/>
    <n v="2025972"/>
    <m/>
    <n v="4.5422332643008673E-3"/>
    <n v="0.20556927791260576"/>
    <s v="A"/>
    <s v="Y"/>
    <s v="AY"/>
    <s v="Frequent Monitoring"/>
    <s v="Every 2 Days"/>
    <s v="Frequent Monitoring"/>
    <s v="High"/>
    <n v="50"/>
    <x v="2"/>
  </r>
  <r>
    <s v="ITEM399"/>
    <s v="Rod"/>
    <s v="Finished Goods"/>
    <x v="4"/>
    <n v="435"/>
    <n v="408"/>
    <n v="39"/>
    <n v="13"/>
    <n v="410.24"/>
    <n v="0.24"/>
    <n v="617"/>
    <n v="0.99"/>
    <n v="10"/>
    <n v="13.6"/>
    <n v="13.6"/>
    <n v="9.5588235294117641E-2"/>
    <s v="Stable"/>
    <n v="140.61649974309557"/>
    <n v="167.21649974309557"/>
    <n v="267.7835002569044"/>
    <s v=" Safe"/>
    <n v="4896"/>
    <n v="2008535.04"/>
    <m/>
    <n v="4.5031395652071569E-3"/>
    <n v="0.21007241747781291"/>
    <s v="A"/>
    <s v="X"/>
    <s v="AX"/>
    <s v="Strict Control"/>
    <s v="Daily"/>
    <s v="Strict Replenishment"/>
    <s v="Low"/>
    <n v="60"/>
    <x v="0"/>
  </r>
  <r>
    <s v="ITEM207"/>
    <s v="Sheet"/>
    <s v="Raw Material"/>
    <x v="0"/>
    <n v="263"/>
    <n v="353"/>
    <n v="29"/>
    <n v="22"/>
    <n v="474.05"/>
    <n v="0.11"/>
    <n v="727"/>
    <n v="0.71"/>
    <n v="10"/>
    <n v="11.766666666666667"/>
    <n v="11.766666666666667"/>
    <n v="8.2152974504249299E-2"/>
    <s v="Stable"/>
    <n v="136.02205703487945"/>
    <n v="169.78872370154613"/>
    <n v="93.211276298453868"/>
    <s v=" Risk"/>
    <n v="4236"/>
    <n v="2008075.8"/>
    <m/>
    <n v="4.5021099482113157E-3"/>
    <n v="0.21457452742602423"/>
    <s v="A"/>
    <s v="X"/>
    <s v="AX"/>
    <s v="Strict Control"/>
    <s v="Daily"/>
    <s v="Strict Replenishment"/>
    <s v="Low"/>
    <n v="60"/>
    <x v="0"/>
  </r>
  <r>
    <s v="ITEM226"/>
    <s v="Flange"/>
    <s v="Finished Goods"/>
    <x v="0"/>
    <n v="202"/>
    <n v="369"/>
    <n v="76"/>
    <n v="6"/>
    <n v="452.98"/>
    <n v="0.15"/>
    <n v="312"/>
    <n v="0.75"/>
    <n v="6"/>
    <n v="12.3"/>
    <n v="12.3"/>
    <n v="0.20596205962059622"/>
    <s v="Moderate"/>
    <n v="186.16122045152153"/>
    <n v="204.46122045152154"/>
    <n v="-2.461220451521541"/>
    <s v=" Need to Order"/>
    <n v="4428"/>
    <n v="2005795.4400000002"/>
    <m/>
    <n v="4.4969973765437016E-3"/>
    <n v="0.21907152480256792"/>
    <s v="A"/>
    <s v="Y"/>
    <s v="AY"/>
    <s v="Frequent Monitoring"/>
    <s v="Every 2 Days"/>
    <s v="Frequent Monitoring"/>
    <s v="High"/>
    <n v="60"/>
    <x v="0"/>
  </r>
  <r>
    <s v="ITEM222"/>
    <s v="Pipe A"/>
    <s v="Raw Material"/>
    <x v="0"/>
    <n v="666"/>
    <n v="345"/>
    <n v="44"/>
    <n v="12"/>
    <n v="479.78"/>
    <n v="0.21"/>
    <n v="836"/>
    <n v="0.71"/>
    <n v="8"/>
    <n v="11.5"/>
    <n v="11.5"/>
    <n v="0.12753623188405797"/>
    <s v="Stable"/>
    <n v="152.4204710660612"/>
    <n v="175.9204710660612"/>
    <n v="490.07952893393883"/>
    <s v=" Safe"/>
    <n v="4140"/>
    <n v="1986289.2"/>
    <m/>
    <n v="4.4532643475633221E-3"/>
    <n v="0.22352478915013124"/>
    <s v="A"/>
    <s v="X"/>
    <s v="AX"/>
    <s v="Strict Control"/>
    <s v="Daily"/>
    <s v="Strict Replenishment"/>
    <s v="Low"/>
    <n v="60"/>
    <x v="0"/>
  </r>
  <r>
    <s v="ITEM257"/>
    <s v="Flange"/>
    <s v="Raw Material"/>
    <x v="4"/>
    <n v="61"/>
    <n v="384"/>
    <n v="51"/>
    <n v="19"/>
    <n v="430.17"/>
    <n v="0.13"/>
    <n v="467"/>
    <n v="0.88"/>
    <n v="8"/>
    <n v="12.8"/>
    <n v="12.8"/>
    <n v="0.1328125"/>
    <s v="Stable"/>
    <n v="222.30384612057438"/>
    <n v="254.10384612057439"/>
    <n v="-193.10384612057439"/>
    <s v=" Need to Order"/>
    <n v="4608"/>
    <n v="1982223.3600000001"/>
    <m/>
    <n v="4.4441487261750083E-3"/>
    <n v="0.22796893787630626"/>
    <s v="A"/>
    <s v="X"/>
    <s v="AX"/>
    <s v="Strict Control"/>
    <s v="Daily"/>
    <s v="Strict Replenishment"/>
    <s v="Low"/>
    <n v="60"/>
    <x v="0"/>
  </r>
  <r>
    <s v="ITEM167"/>
    <s v="Tube"/>
    <s v="Finished Goods"/>
    <x v="3"/>
    <n v="884"/>
    <n v="440"/>
    <n v="13"/>
    <n v="4"/>
    <n v="373.68"/>
    <n v="0.21"/>
    <n v="246"/>
    <n v="0.97"/>
    <n v="1"/>
    <n v="14.666666666666666"/>
    <n v="14.666666666666666"/>
    <n v="2.9545454545454545E-2"/>
    <s v="Stable"/>
    <n v="26"/>
    <n v="44.666666666666664"/>
    <n v="839.33333333333337"/>
    <s v=" Safe"/>
    <n v="5280"/>
    <n v="1973030.4000000001"/>
    <m/>
    <n v="4.4235380915219197E-3"/>
    <n v="0.23239247596782819"/>
    <s v="A"/>
    <s v="X"/>
    <s v="AX"/>
    <s v="Strict Control"/>
    <s v="Daily"/>
    <s v="Strict Replenishment"/>
    <s v="Low"/>
    <n v="40"/>
    <x v="1"/>
  </r>
  <r>
    <s v="ITEM295"/>
    <s v="Flange"/>
    <s v="Finished Goods"/>
    <x v="3"/>
    <n v="508"/>
    <n v="482"/>
    <n v="49"/>
    <n v="10"/>
    <n v="339.67"/>
    <n v="0.16"/>
    <n v="431"/>
    <n v="0.89"/>
    <n v="6"/>
    <n v="16.066666666666666"/>
    <n v="16.066666666666666"/>
    <n v="0.1016597510373444"/>
    <s v="Stable"/>
    <n v="154.95160534825061"/>
    <n v="181.01827201491727"/>
    <n v="326.98172798508273"/>
    <s v=" Safe"/>
    <n v="5784"/>
    <n v="1964651.28"/>
    <m/>
    <n v="4.4047520877718337E-3"/>
    <n v="0.23679722805560002"/>
    <s v="A"/>
    <s v="X"/>
    <s v="AX"/>
    <s v="Strict Control"/>
    <s v="Daily"/>
    <s v="Strict Replenishment"/>
    <s v="Low"/>
    <n v="50"/>
    <x v="2"/>
  </r>
  <r>
    <s v="ITEM439"/>
    <s v="Tube"/>
    <s v="Raw Material"/>
    <x v="0"/>
    <n v="90"/>
    <n v="491"/>
    <n v="96"/>
    <n v="20"/>
    <n v="329.11"/>
    <n v="0.06"/>
    <n v="903"/>
    <n v="0.73"/>
    <n v="9"/>
    <n v="16.366666666666667"/>
    <n v="16.366666666666667"/>
    <n v="0.1955193482688391"/>
    <s v="Stable"/>
    <n v="429.32505167995964"/>
    <n v="465.69171834662632"/>
    <n v="-375.69171834662632"/>
    <s v=" Need to Order"/>
    <n v="5892"/>
    <n v="1939116.12"/>
    <m/>
    <n v="4.3475022081282634E-3"/>
    <n v="0.24114473026372829"/>
    <s v="A"/>
    <s v="X"/>
    <s v="AX"/>
    <s v="Strict Control"/>
    <s v="Daily"/>
    <s v="Strict Replenishment"/>
    <s v="Low"/>
    <n v="60"/>
    <x v="0"/>
  </r>
  <r>
    <s v="ITEM121"/>
    <s v="Sheet"/>
    <s v="Raw Material"/>
    <x v="4"/>
    <n v="132"/>
    <n v="444"/>
    <n v="98"/>
    <n v="3"/>
    <n v="361.49"/>
    <n v="0.11"/>
    <n v="703"/>
    <n v="0.91"/>
    <n v="7"/>
    <n v="14.8"/>
    <n v="14.8"/>
    <n v="0.22072072072072071"/>
    <s v="Moderate"/>
    <n v="169.74097914174996"/>
    <n v="187.54097914174997"/>
    <n v="-55.540979141749972"/>
    <s v=" Need to Order"/>
    <n v="5328"/>
    <n v="1926018.72"/>
    <m/>
    <n v="4.3181378112087327E-3"/>
    <n v="0.24546286807493703"/>
    <s v="A"/>
    <s v="Y"/>
    <s v="AY"/>
    <s v="Frequent Monitoring"/>
    <s v="Every 2 Days"/>
    <s v="Frequent Monitoring"/>
    <s v="High"/>
    <n v="60"/>
    <x v="0"/>
  </r>
  <r>
    <s v="ITEM126"/>
    <s v="Connector"/>
    <s v="Raw Material"/>
    <x v="2"/>
    <n v="237"/>
    <n v="335"/>
    <n v="50"/>
    <n v="11"/>
    <n v="471.47"/>
    <n v="0.1"/>
    <n v="422"/>
    <n v="1"/>
    <n v="2"/>
    <n v="11.166666666666666"/>
    <n v="11.166666666666666"/>
    <n v="0.14925373134328357"/>
    <s v="Stable"/>
    <n v="165.83123951777"/>
    <n v="187.99790618443666"/>
    <n v="49.002093815563342"/>
    <s v=" Risk"/>
    <n v="4020"/>
    <n v="1895309.4000000001"/>
    <m/>
    <n v="4.2492874545265779E-3"/>
    <n v="0.2497121555294636"/>
    <s v="A"/>
    <s v="X"/>
    <s v="AX"/>
    <s v="Strict Control"/>
    <s v="Daily"/>
    <s v="Strict Replenishment"/>
    <s v="Low"/>
    <n v="40"/>
    <x v="1"/>
  </r>
  <r>
    <s v="ITEM039"/>
    <s v="Sheet"/>
    <s v="Finished Goods"/>
    <x v="3"/>
    <n v="986"/>
    <n v="399"/>
    <n v="88"/>
    <n v="2"/>
    <n v="395.74"/>
    <n v="0.08"/>
    <n v="404"/>
    <n v="0.85"/>
    <n v="7"/>
    <n v="13.3"/>
    <n v="13.3"/>
    <n v="0.22055137844611528"/>
    <s v="Moderate"/>
    <n v="124.45079348883237"/>
    <n v="139.75079348883239"/>
    <n v="846.24920651116759"/>
    <s v=" Safe"/>
    <n v="4788"/>
    <n v="1894803.12"/>
    <m/>
    <n v="4.2481523737569271E-3"/>
    <n v="0.25396030790322055"/>
    <s v="A"/>
    <s v="Y"/>
    <s v="AY"/>
    <s v="Frequent Monitoring"/>
    <s v="Every 2 Days"/>
    <s v="Frequent Monitoring"/>
    <s v="High"/>
    <n v="60"/>
    <x v="0"/>
  </r>
  <r>
    <s v="ITEM094"/>
    <s v="Tube"/>
    <s v="Raw Material"/>
    <x v="1"/>
    <n v="106"/>
    <n v="410"/>
    <n v="86"/>
    <n v="16"/>
    <n v="384.87"/>
    <n v="0.21"/>
    <n v="804"/>
    <n v="0.84"/>
    <n v="8"/>
    <n v="13.666666666666666"/>
    <n v="13.666666666666666"/>
    <n v="0.2097560975609756"/>
    <s v="Moderate"/>
    <n v="344"/>
    <n v="373.66666666666669"/>
    <n v="-267.66666666666669"/>
    <s v=" Need to Order"/>
    <n v="4920"/>
    <n v="1893560.4"/>
    <m/>
    <n v="4.2453661930386289E-3"/>
    <n v="0.25820567409625916"/>
    <s v="A"/>
    <s v="Y"/>
    <s v="AY"/>
    <s v="Frequent Monitoring"/>
    <s v="Every 2 Days"/>
    <s v="Frequent Monitoring"/>
    <s v="High"/>
    <n v="70"/>
    <x v="3"/>
  </r>
  <r>
    <s v="ITEM142"/>
    <s v="Connector"/>
    <s v="Raw Material"/>
    <x v="2"/>
    <n v="61"/>
    <n v="423"/>
    <n v="49"/>
    <n v="7"/>
    <n v="372.68"/>
    <n v="0.15"/>
    <n v="622"/>
    <n v="0.8"/>
    <n v="4"/>
    <n v="14.1"/>
    <n v="14.1"/>
    <n v="0.11583924349881797"/>
    <s v="Stable"/>
    <n v="129.64181424216494"/>
    <n v="150.74181424216493"/>
    <n v="-89.741814242164935"/>
    <s v=" Need to Order"/>
    <n v="5076"/>
    <n v="1891723.68"/>
    <m/>
    <n v="4.2412482631357436E-3"/>
    <n v="0.26244692235939493"/>
    <s v="A"/>
    <s v="X"/>
    <s v="AX"/>
    <s v="Strict Control"/>
    <s v="Daily"/>
    <s v="Strict Replenishment"/>
    <s v="Low"/>
    <n v="40"/>
    <x v="1"/>
  </r>
  <r>
    <s v="ITEM316"/>
    <s v="Pipe A"/>
    <s v="Finished Goods"/>
    <x v="3"/>
    <n v="644"/>
    <n v="329"/>
    <n v="71"/>
    <n v="28"/>
    <n v="476.38"/>
    <n v="0.19"/>
    <n v="189"/>
    <n v="0.75"/>
    <n v="3"/>
    <n v="10.966666666666667"/>
    <n v="10.966666666666667"/>
    <n v="0.21580547112462006"/>
    <s v="Moderate"/>
    <n v="375.6966861711719"/>
    <n v="414.6633528378386"/>
    <n v="229.3366471621614"/>
    <s v=" Risk"/>
    <n v="3948"/>
    <n v="1880748.24"/>
    <m/>
    <n v="4.2166413047679393E-3"/>
    <n v="0.26666356366416288"/>
    <s v="A"/>
    <s v="Y"/>
    <s v="AY"/>
    <s v="Frequent Monitoring"/>
    <s v="Every 2 Days"/>
    <s v="Frequent Monitoring"/>
    <s v="High"/>
    <n v="50"/>
    <x v="2"/>
  </r>
  <r>
    <s v="ITEM447"/>
    <s v="Flange"/>
    <s v="Raw Material"/>
    <x v="3"/>
    <n v="108"/>
    <n v="464"/>
    <n v="29"/>
    <n v="18"/>
    <n v="337.24"/>
    <n v="0.14000000000000001"/>
    <n v="275"/>
    <n v="0.9"/>
    <n v="9"/>
    <n v="15.466666666666667"/>
    <n v="15.466666666666667"/>
    <n v="6.25E-2"/>
    <s v="Stable"/>
    <n v="123.03657992645925"/>
    <n v="156.50324659312594"/>
    <n v="-48.503246593125937"/>
    <s v=" Need to Order"/>
    <n v="5568"/>
    <n v="1877752.32"/>
    <m/>
    <n v="4.2099244461533169E-3"/>
    <n v="0.2708734881103162"/>
    <s v="A"/>
    <s v="X"/>
    <s v="AX"/>
    <s v="Strict Control"/>
    <s v="Daily"/>
    <s v="Strict Replenishment"/>
    <s v="Low"/>
    <n v="60"/>
    <x v="0"/>
  </r>
  <r>
    <s v="ITEM147"/>
    <s v="Pipe A"/>
    <s v="Raw Material"/>
    <x v="4"/>
    <n v="982"/>
    <n v="394"/>
    <n v="56"/>
    <n v="29"/>
    <n v="395.6"/>
    <n v="0.21"/>
    <n v="441"/>
    <n v="0.79"/>
    <n v="8"/>
    <n v="13.133333333333333"/>
    <n v="13.133333333333333"/>
    <n v="0.14213197969543148"/>
    <s v="Stable"/>
    <n v="301.56922919953223"/>
    <n v="343.70256253286556"/>
    <n v="638.29743746713439"/>
    <s v=" Safe"/>
    <n v="4728"/>
    <n v="1870396.8"/>
    <m/>
    <n v="4.1934333556445484E-3"/>
    <n v="0.27506692146596073"/>
    <s v="A"/>
    <s v="X"/>
    <s v="AX"/>
    <s v="Strict Control"/>
    <s v="Daily"/>
    <s v="Strict Replenishment"/>
    <s v="Low"/>
    <n v="60"/>
    <x v="0"/>
  </r>
  <r>
    <s v="ITEM370"/>
    <s v="Pipe B"/>
    <s v="Finished Goods"/>
    <x v="2"/>
    <n v="714"/>
    <n v="401"/>
    <n v="69"/>
    <n v="13"/>
    <n v="384.47"/>
    <n v="0.2"/>
    <n v="496"/>
    <n v="0.99"/>
    <n v="10"/>
    <n v="13.366666666666667"/>
    <n v="13.366666666666667"/>
    <n v="0.17206982543640897"/>
    <s v="Stable"/>
    <n v="248.78303800701525"/>
    <n v="275.14970467368192"/>
    <n v="438.85029532631808"/>
    <s v=" Safe"/>
    <n v="4812"/>
    <n v="1850069.6400000001"/>
    <m/>
    <n v="4.1478598223870476E-3"/>
    <n v="0.27921478128834776"/>
    <s v="A"/>
    <s v="X"/>
    <s v="AX"/>
    <s v="Strict Control"/>
    <s v="Daily"/>
    <s v="Strict Replenishment"/>
    <s v="Low"/>
    <n v="60"/>
    <x v="0"/>
  </r>
  <r>
    <s v="ITEM353"/>
    <s v="Sheet"/>
    <s v="Finished Goods"/>
    <x v="3"/>
    <n v="929"/>
    <n v="405"/>
    <n v="44"/>
    <n v="8"/>
    <n v="377.69"/>
    <n v="0.18"/>
    <n v="530"/>
    <n v="0.78"/>
    <n v="3"/>
    <n v="13.5"/>
    <n v="13.5"/>
    <n v="0.10864197530864197"/>
    <s v="Stable"/>
    <n v="124.45079348883237"/>
    <n v="145.95079348883237"/>
    <n v="783.04920651116765"/>
    <s v=" Safe"/>
    <n v="4860"/>
    <n v="1835573.4"/>
    <m/>
    <n v="4.1153592233978764E-3"/>
    <n v="0.28333014051174565"/>
    <s v="A"/>
    <s v="X"/>
    <s v="AX"/>
    <s v="Strict Control"/>
    <s v="Daily"/>
    <s v="Strict Replenishment"/>
    <s v="Low"/>
    <n v="40"/>
    <x v="1"/>
  </r>
  <r>
    <s v="ITEM437"/>
    <s v="Rod"/>
    <s v="Finished Goods"/>
    <x v="2"/>
    <n v="622"/>
    <n v="377"/>
    <n v="9"/>
    <n v="24"/>
    <n v="404.94"/>
    <n v="0.15"/>
    <n v="895"/>
    <n v="0.8"/>
    <n v="10"/>
    <n v="12.566666666666666"/>
    <n v="12.566666666666666"/>
    <n v="2.3872679045092837E-2"/>
    <s v="Stable"/>
    <n v="44.090815370097204"/>
    <n v="80.657482036763867"/>
    <n v="541.34251796323611"/>
    <s v=" Safe"/>
    <n v="4524"/>
    <n v="1831948.56"/>
    <m/>
    <n v="4.1072323248890277E-3"/>
    <n v="0.28743737283663467"/>
    <s v="A"/>
    <s v="X"/>
    <s v="AX"/>
    <s v="Strict Control"/>
    <s v="Daily"/>
    <s v="Strict Replenishment"/>
    <s v="Low"/>
    <n v="60"/>
    <x v="0"/>
  </r>
  <r>
    <s v="ITEM061"/>
    <s v="Pipe A"/>
    <s v="Finished Goods"/>
    <x v="4"/>
    <n v="62"/>
    <n v="422"/>
    <n v="62"/>
    <n v="14"/>
    <n v="360.27"/>
    <n v="0.15"/>
    <n v="305"/>
    <n v="0.89"/>
    <n v="10"/>
    <n v="14.066666666666666"/>
    <n v="14.066666666666666"/>
    <n v="0.14691943127962084"/>
    <s v="Stable"/>
    <n v="231.98275797998437"/>
    <n v="260.04942464665106"/>
    <n v="-198.04942464665106"/>
    <s v=" Need to Order"/>
    <n v="5064"/>
    <n v="1824407.2799999998"/>
    <m/>
    <n v="4.0903247600898064E-3"/>
    <n v="0.29152769759672448"/>
    <s v="A"/>
    <s v="X"/>
    <s v="AX"/>
    <s v="Strict Control"/>
    <s v="Daily"/>
    <s v="Strict Replenishment"/>
    <s v="Low"/>
    <n v="60"/>
    <x v="0"/>
  </r>
  <r>
    <s v="ITEM255"/>
    <s v="Flange"/>
    <s v="Raw Material"/>
    <x v="1"/>
    <n v="288"/>
    <n v="381"/>
    <n v="13"/>
    <n v="6"/>
    <n v="389.58"/>
    <n v="0.19"/>
    <n v="484"/>
    <n v="0.96"/>
    <n v="3"/>
    <n v="12.7"/>
    <n v="12.7"/>
    <n v="3.4120734908136482E-2"/>
    <s v="Stable"/>
    <n v="31.843366656181313"/>
    <n v="50.543366656181313"/>
    <n v="237.45663334381868"/>
    <s v=" Safe"/>
    <n v="4572"/>
    <n v="1781159.76"/>
    <m/>
    <n v="3.9933637340033084E-3"/>
    <n v="0.29552106133072781"/>
    <s v="A"/>
    <s v="X"/>
    <s v="AX"/>
    <s v="Strict Control"/>
    <s v="Daily"/>
    <s v="Strict Replenishment"/>
    <s v="Low"/>
    <n v="40"/>
    <x v="1"/>
  </r>
  <r>
    <s v="ITEM391"/>
    <s v="Tube"/>
    <s v="Finished Goods"/>
    <x v="4"/>
    <n v="953"/>
    <n v="337"/>
    <n v="7"/>
    <n v="25"/>
    <n v="438.27"/>
    <n v="0.18"/>
    <n v="210"/>
    <n v="0.93"/>
    <n v="1"/>
    <n v="11.233333333333333"/>
    <n v="11.233333333333333"/>
    <n v="2.0771513353115726E-2"/>
    <s v="Stable"/>
    <n v="35"/>
    <n v="71.233333333333334"/>
    <n v="881.76666666666665"/>
    <s v=" Safe"/>
    <n v="4044"/>
    <n v="1772363.88"/>
    <m/>
    <n v="3.9736433535020972E-3"/>
    <n v="0.2994947046842299"/>
    <s v="A"/>
    <s v="X"/>
    <s v="AX"/>
    <s v="Strict Control"/>
    <s v="Daily"/>
    <s v="Strict Replenishment"/>
    <s v="Low"/>
    <n v="40"/>
    <x v="1"/>
  </r>
  <r>
    <s v="ITEM081"/>
    <s v="Sheet"/>
    <s v="Raw Material"/>
    <x v="2"/>
    <n v="563"/>
    <n v="425"/>
    <n v="81"/>
    <n v="25"/>
    <n v="347.25"/>
    <n v="0.21"/>
    <n v="102"/>
    <n v="0.75"/>
    <n v="1"/>
    <n v="14.166666666666666"/>
    <n v="14.166666666666666"/>
    <n v="0.19058823529411764"/>
    <s v="Stable"/>
    <n v="405"/>
    <n v="444.16666666666669"/>
    <n v="118.83333333333331"/>
    <s v=" Risk"/>
    <n v="5100"/>
    <n v="1770975"/>
    <m/>
    <n v="3.9705294817723195E-3"/>
    <n v="0.30346523416600224"/>
    <s v="A"/>
    <s v="X"/>
    <s v="AX"/>
    <s v="Strict Control"/>
    <s v="Daily"/>
    <s v="Strict Replenishment"/>
    <s v="Low"/>
    <n v="40"/>
    <x v="1"/>
  </r>
  <r>
    <s v="ITEM290"/>
    <s v="Flange"/>
    <s v="Finished Goods"/>
    <x v="1"/>
    <n v="409"/>
    <n v="374"/>
    <n v="50"/>
    <n v="29"/>
    <n v="394.37"/>
    <n v="0.19"/>
    <n v="827"/>
    <n v="0.89"/>
    <n v="4"/>
    <n v="12.466666666666667"/>
    <n v="12.466666666666667"/>
    <n v="0.13368983957219252"/>
    <s v="Stable"/>
    <n v="269.2582403567252"/>
    <n v="310.72490702339189"/>
    <n v="98.275092976608107"/>
    <s v=" Risk"/>
    <n v="4488"/>
    <n v="1769932.56"/>
    <m/>
    <n v="3.9681923292134305E-3"/>
    <n v="0.30743342649521566"/>
    <s v="A"/>
    <s v="X"/>
    <s v="AX"/>
    <s v="Strict Control"/>
    <s v="Daily"/>
    <s v="Strict Replenishment"/>
    <s v="Low"/>
    <n v="40"/>
    <x v="1"/>
  </r>
  <r>
    <s v="ITEM282"/>
    <s v="Pipe B"/>
    <s v="Raw Material"/>
    <x v="2"/>
    <n v="968"/>
    <n v="421"/>
    <n v="99"/>
    <n v="30"/>
    <n v="346.62"/>
    <n v="0.13"/>
    <n v="560"/>
    <n v="0.88"/>
    <n v="7"/>
    <n v="14.033333333333333"/>
    <n v="14.033333333333333"/>
    <n v="0.23515439429928742"/>
    <s v="Moderate"/>
    <n v="542.2453319301145"/>
    <n v="586.27866526344781"/>
    <n v="381.72133473655219"/>
    <s v=" Risk"/>
    <n v="5052"/>
    <n v="1751124.24"/>
    <m/>
    <n v="3.9260240382648802E-3"/>
    <n v="0.31135945053348052"/>
    <s v="A"/>
    <s v="Y"/>
    <s v="AY"/>
    <s v="Frequent Monitoring"/>
    <s v="Every 2 Days"/>
    <s v="Frequent Monitoring"/>
    <s v="High"/>
    <n v="60"/>
    <x v="0"/>
  </r>
  <r>
    <s v="ITEM119"/>
    <s v="Sheet"/>
    <s v="Finished Goods"/>
    <x v="3"/>
    <n v="243"/>
    <n v="399"/>
    <n v="27"/>
    <n v="4"/>
    <n v="365.08"/>
    <n v="0.19"/>
    <n v="775"/>
    <n v="0.94"/>
    <n v="9"/>
    <n v="13.3"/>
    <n v="13.3"/>
    <n v="6.7669172932330823E-2"/>
    <s v="Stable"/>
    <n v="54"/>
    <n v="71.3"/>
    <n v="171.7"/>
    <s v=" Safe"/>
    <n v="4788"/>
    <n v="1748003.04"/>
    <m/>
    <n v="3.9190263016404174E-3"/>
    <n v="0.31527847683512095"/>
    <s v="A"/>
    <s v="X"/>
    <s v="AX"/>
    <s v="Strict Control"/>
    <s v="Daily"/>
    <s v="Strict Replenishment"/>
    <s v="Low"/>
    <n v="60"/>
    <x v="0"/>
  </r>
  <r>
    <s v="ITEM482"/>
    <s v="Pipe B"/>
    <s v="Raw Material"/>
    <x v="1"/>
    <n v="435"/>
    <n v="340"/>
    <n v="88"/>
    <n v="7"/>
    <n v="427.75"/>
    <n v="0.06"/>
    <n v="929"/>
    <n v="0.71"/>
    <n v="3"/>
    <n v="11.333333333333334"/>
    <n v="11.333333333333334"/>
    <n v="0.25882352941176473"/>
    <s v="Moderate"/>
    <n v="232.82611537368399"/>
    <n v="251.15944870701733"/>
    <n v="183.84055129298267"/>
    <s v=" Risk"/>
    <n v="4080"/>
    <n v="1745220"/>
    <m/>
    <n v="3.9127867204103318E-3"/>
    <n v="0.31919126355553129"/>
    <s v="A"/>
    <s v="Y"/>
    <s v="AY"/>
    <s v="Frequent Monitoring"/>
    <s v="Every 2 Days"/>
    <s v="Frequent Monitoring"/>
    <s v="High"/>
    <n v="50"/>
    <x v="2"/>
  </r>
  <r>
    <s v="ITEM400"/>
    <s v="Connector"/>
    <s v="Finished Goods"/>
    <x v="1"/>
    <n v="608"/>
    <n v="313"/>
    <n v="21"/>
    <n v="7"/>
    <n v="456.94"/>
    <n v="0.09"/>
    <n v="749"/>
    <n v="0.92"/>
    <n v="4"/>
    <n v="10.433333333333334"/>
    <n v="10.433333333333334"/>
    <n v="6.7092651757188496E-2"/>
    <s v="Stable"/>
    <n v="55.560777532356404"/>
    <n v="72.994110865689734"/>
    <n v="535.00588913431022"/>
    <s v=" Safe"/>
    <n v="3756"/>
    <n v="1716266.64"/>
    <m/>
    <n v="3.8478732295500044E-3"/>
    <n v="0.32303913678508128"/>
    <s v="A"/>
    <s v="X"/>
    <s v="AX"/>
    <s v="Strict Control"/>
    <s v="Daily"/>
    <s v="Strict Replenishment"/>
    <s v="Low"/>
    <n v="40"/>
    <x v="1"/>
  </r>
  <r>
    <s v="ITEM343"/>
    <s v="Pipe A"/>
    <s v="Raw Material"/>
    <x v="1"/>
    <n v="426"/>
    <n v="337"/>
    <n v="16"/>
    <n v="18"/>
    <n v="416.76"/>
    <n v="7.0000000000000007E-2"/>
    <n v="789"/>
    <n v="0.87"/>
    <n v="9"/>
    <n v="11.233333333333333"/>
    <n v="11.233333333333333"/>
    <n v="4.7477744807121663E-2"/>
    <s v="Stable"/>
    <n v="67.882250993908556"/>
    <n v="97.115584327241891"/>
    <n v="328.88441567275811"/>
    <s v=" Safe"/>
    <n v="4044"/>
    <n v="1685377.44"/>
    <m/>
    <n v="3.7786195815491226E-3"/>
    <n v="0.32681775636663041"/>
    <s v="A"/>
    <s v="X"/>
    <s v="AX"/>
    <s v="Strict Control"/>
    <s v="Daily"/>
    <s v="Strict Replenishment"/>
    <s v="Low"/>
    <n v="60"/>
    <x v="0"/>
  </r>
  <r>
    <s v="ITEM184"/>
    <s v="Pipe B"/>
    <s v="Finished Goods"/>
    <x v="2"/>
    <n v="660"/>
    <n v="362"/>
    <n v="34"/>
    <n v="5"/>
    <n v="387.93"/>
    <n v="0.23"/>
    <n v="241"/>
    <n v="0.78"/>
    <n v="7"/>
    <n v="12.066666666666666"/>
    <n v="12.066666666666666"/>
    <n v="9.3922651933701654E-2"/>
    <s v="Stable"/>
    <n v="76.026311234992846"/>
    <n v="93.092977901659509"/>
    <n v="566.90702209834046"/>
    <s v=" Safe"/>
    <n v="4344"/>
    <n v="1685167.92"/>
    <m/>
    <n v="3.7781498372912868E-3"/>
    <n v="0.33059590620392171"/>
    <s v="A"/>
    <s v="X"/>
    <s v="AX"/>
    <s v="Strict Control"/>
    <s v="Daily"/>
    <s v="Strict Replenishment"/>
    <s v="Low"/>
    <n v="50"/>
    <x v="2"/>
  </r>
  <r>
    <s v="ITEM397"/>
    <s v="Connector"/>
    <s v="Finished Goods"/>
    <x v="1"/>
    <n v="272"/>
    <n v="461"/>
    <n v="70"/>
    <n v="8"/>
    <n v="301.88"/>
    <n v="0.22"/>
    <n v="112"/>
    <n v="0.85"/>
    <n v="10"/>
    <n v="15.366666666666667"/>
    <n v="15.366666666666667"/>
    <n v="0.15184381778741865"/>
    <s v="Stable"/>
    <n v="197.98989873223331"/>
    <n v="221.35656539889999"/>
    <n v="50.643434601100012"/>
    <s v=" Risk"/>
    <n v="5532"/>
    <n v="1670000.16"/>
    <m/>
    <n v="3.7441436891229351E-3"/>
    <n v="0.33434004989304467"/>
    <s v="A"/>
    <s v="X"/>
    <s v="AX"/>
    <s v="Strict Control"/>
    <s v="Daily"/>
    <s v="Strict Replenishment"/>
    <s v="Low"/>
    <n v="60"/>
    <x v="0"/>
  </r>
  <r>
    <s v="ITEM011"/>
    <s v="Tube"/>
    <s v="Finished Goods"/>
    <x v="3"/>
    <n v="30"/>
    <n v="440"/>
    <n v="41"/>
    <n v="18"/>
    <n v="313.87"/>
    <n v="0.11"/>
    <n v="235"/>
    <n v="0.98"/>
    <n v="1"/>
    <n v="14.666666666666666"/>
    <n v="14.666666666666666"/>
    <n v="9.3181818181818185E-2"/>
    <s v="Stable"/>
    <n v="173.94826817189067"/>
    <n v="206.61493483855733"/>
    <n v="-176.61493483855733"/>
    <s v=" Need to Order"/>
    <n v="5280"/>
    <n v="1657233.6"/>
    <m/>
    <n v="3.7155210361431842E-3"/>
    <n v="0.33805557092918787"/>
    <s v="A"/>
    <s v="X"/>
    <s v="AX"/>
    <s v="Strict Control"/>
    <s v="Daily"/>
    <s v="Strict Replenishment"/>
    <s v="Low"/>
    <n v="40"/>
    <x v="1"/>
  </r>
  <r>
    <s v="ITEM493"/>
    <s v="Sheet"/>
    <s v="Raw Material"/>
    <x v="1"/>
    <n v="773"/>
    <n v="327"/>
    <n v="57"/>
    <n v="30"/>
    <n v="421.31"/>
    <n v="0.16"/>
    <n v="663"/>
    <n v="0.98"/>
    <n v="3"/>
    <n v="10.9"/>
    <n v="10.9"/>
    <n v="0.1743119266055046"/>
    <s v="Stable"/>
    <n v="312.20185777794467"/>
    <n v="353.10185777794464"/>
    <n v="419.89814222205536"/>
    <s v=" Safe"/>
    <n v="3924"/>
    <n v="1653220.44"/>
    <m/>
    <n v="3.706523523419927E-3"/>
    <n v="0.3417620944526078"/>
    <s v="A"/>
    <s v="X"/>
    <s v="AX"/>
    <s v="Strict Control"/>
    <s v="Daily"/>
    <s v="Strict Replenishment"/>
    <s v="Low"/>
    <n v="40"/>
    <x v="1"/>
  </r>
  <r>
    <s v="ITEM138"/>
    <s v="Connector"/>
    <s v="Raw Material"/>
    <x v="1"/>
    <n v="193"/>
    <n v="477"/>
    <n v="29"/>
    <n v="1"/>
    <n v="288.32"/>
    <n v="0.06"/>
    <n v="273"/>
    <n v="0.82"/>
    <n v="9"/>
    <n v="15.9"/>
    <n v="15.9"/>
    <n v="6.0796645702306078E-2"/>
    <s v="Stable"/>
    <n v="29"/>
    <n v="45.9"/>
    <n v="147.1"/>
    <s v=" Safe"/>
    <n v="5724"/>
    <n v="1650343.68"/>
    <m/>
    <n v="3.7000738217629397E-3"/>
    <n v="0.34546216827437076"/>
    <s v="A"/>
    <s v="X"/>
    <s v="AX"/>
    <s v="Strict Control"/>
    <s v="Daily"/>
    <s v="Strict Replenishment"/>
    <s v="Low"/>
    <n v="60"/>
    <x v="0"/>
  </r>
  <r>
    <s v="ITEM451"/>
    <s v="Tube"/>
    <s v="Finished Goods"/>
    <x v="3"/>
    <n v="117"/>
    <n v="378"/>
    <n v="67"/>
    <n v="19"/>
    <n v="361.31"/>
    <n v="0.19"/>
    <n v="107"/>
    <n v="0.86"/>
    <n v="10"/>
    <n v="12.6"/>
    <n v="12.6"/>
    <n v="0.17724867724867724"/>
    <s v="Stable"/>
    <n v="292.04622921722518"/>
    <n v="323.6462292172252"/>
    <n v="-206.6462292172252"/>
    <s v=" Need to Order"/>
    <n v="4536"/>
    <n v="1638902.16"/>
    <m/>
    <n v="3.6744219111056534E-3"/>
    <n v="0.34913659018547644"/>
    <s v="A"/>
    <s v="X"/>
    <s v="AX"/>
    <s v="Strict Control"/>
    <s v="Daily"/>
    <s v="Strict Replenishment"/>
    <s v="Low"/>
    <n v="60"/>
    <x v="0"/>
  </r>
  <r>
    <s v="ITEM001"/>
    <s v="Flange"/>
    <s v="Finished Goods"/>
    <x v="3"/>
    <n v="640"/>
    <n v="314"/>
    <n v="89"/>
    <n v="25"/>
    <n v="434.75"/>
    <n v="0.17"/>
    <n v="372"/>
    <n v="0.95"/>
    <n v="9"/>
    <n v="10.466666666666667"/>
    <n v="10.466666666666667"/>
    <n v="0.28343949044585987"/>
    <s v="Moderate"/>
    <n v="445"/>
    <n v="480.4666666666667"/>
    <n v="159.5333333333333"/>
    <s v=" Risk"/>
    <n v="3768"/>
    <n v="1638138"/>
    <m/>
    <n v="3.6727086628617249E-3"/>
    <n v="0.35280929884833817"/>
    <s v="A"/>
    <s v="Y"/>
    <s v="AY"/>
    <s v="Frequent Monitoring"/>
    <s v="Every 2 Days"/>
    <s v="Frequent Monitoring"/>
    <s v="High"/>
    <n v="70"/>
    <x v="3"/>
  </r>
  <r>
    <s v="ITEM240"/>
    <s v="Flange"/>
    <s v="Finished Goods"/>
    <x v="0"/>
    <n v="589"/>
    <n v="417"/>
    <n v="23"/>
    <n v="30"/>
    <n v="326.60000000000002"/>
    <n v="0.21"/>
    <n v="887"/>
    <n v="0.73"/>
    <n v="2"/>
    <n v="13.9"/>
    <n v="13.9"/>
    <n v="5.5155875299760189E-2"/>
    <s v="Stable"/>
    <n v="125.97618822618821"/>
    <n v="169.87618822618822"/>
    <n v="419.12381177381178"/>
    <s v=" Safe"/>
    <n v="5004"/>
    <n v="1634306.4000000001"/>
    <m/>
    <n v="3.6641182080205453E-3"/>
    <n v="0.35647341705635871"/>
    <s v="A"/>
    <s v="X"/>
    <s v="AX"/>
    <s v="Strict Control"/>
    <s v="Daily"/>
    <s v="Strict Replenishment"/>
    <s v="Low"/>
    <n v="40"/>
    <x v="1"/>
  </r>
  <r>
    <s v="ITEM206"/>
    <s v="Pipe B"/>
    <s v="Raw Material"/>
    <x v="2"/>
    <n v="986"/>
    <n v="443"/>
    <n v="61"/>
    <n v="29"/>
    <n v="303.88"/>
    <n v="0.19"/>
    <n v="432"/>
    <n v="0.98"/>
    <n v="2"/>
    <n v="14.766666666666667"/>
    <n v="14.766666666666667"/>
    <n v="0.13769751693002258"/>
    <s v="Stable"/>
    <n v="328.49505323520475"/>
    <n v="372.2617199018714"/>
    <n v="613.7382800981286"/>
    <s v=" Safe"/>
    <n v="5316"/>
    <n v="1615426.08"/>
    <m/>
    <n v="3.6217884929284089E-3"/>
    <n v="0.36009520554928715"/>
    <s v="A"/>
    <s v="X"/>
    <s v="AX"/>
    <s v="Strict Control"/>
    <s v="Daily"/>
    <s v="Strict Replenishment"/>
    <s v="Low"/>
    <n v="40"/>
    <x v="1"/>
  </r>
  <r>
    <s v="ITEM479"/>
    <s v="Connector"/>
    <s v="Raw Material"/>
    <x v="1"/>
    <n v="64"/>
    <n v="320"/>
    <n v="38"/>
    <n v="1"/>
    <n v="420.46"/>
    <n v="0.06"/>
    <n v="858"/>
    <n v="0.82"/>
    <n v="10"/>
    <n v="10.666666666666666"/>
    <n v="10.666666666666666"/>
    <n v="0.11874999999999999"/>
    <s v="Stable"/>
    <n v="38"/>
    <n v="49.666666666666664"/>
    <n v="14.333333333333336"/>
    <s v=" Risk"/>
    <n v="3840"/>
    <n v="1614566.3999999999"/>
    <m/>
    <n v="3.6198610886539894E-3"/>
    <n v="0.36371506663794112"/>
    <s v="A"/>
    <s v="X"/>
    <s v="AX"/>
    <s v="Strict Control"/>
    <s v="Daily"/>
    <s v="Strict Replenishment"/>
    <s v="Low"/>
    <n v="60"/>
    <x v="0"/>
  </r>
  <r>
    <s v="ITEM019"/>
    <s v="Pipe B"/>
    <s v="Finished Goods"/>
    <x v="4"/>
    <n v="724"/>
    <n v="433"/>
    <n v="96"/>
    <n v="4"/>
    <n v="308.89999999999998"/>
    <n v="0.12"/>
    <n v="287"/>
    <n v="0.99"/>
    <n v="3"/>
    <n v="14.433333333333334"/>
    <n v="14.433333333333334"/>
    <n v="0.22170900692840648"/>
    <s v="Moderate"/>
    <n v="192"/>
    <n v="210.43333333333334"/>
    <n v="513.56666666666661"/>
    <s v=" Safe"/>
    <n v="5196"/>
    <n v="1605044.4"/>
    <m/>
    <n v="3.5985127456647117E-3"/>
    <n v="0.36731357938360581"/>
    <s v="A"/>
    <s v="Y"/>
    <s v="AY"/>
    <s v="Frequent Monitoring"/>
    <s v="Every 2 Days"/>
    <s v="Frequent Monitoring"/>
    <s v="High"/>
    <n v="50"/>
    <x v="2"/>
  </r>
  <r>
    <s v="ITEM085"/>
    <s v="Rod"/>
    <s v="Finished Goods"/>
    <x v="3"/>
    <n v="975"/>
    <n v="454"/>
    <n v="65"/>
    <n v="17"/>
    <n v="293.58"/>
    <n v="0.11"/>
    <n v="676"/>
    <n v="0.84"/>
    <n v="6"/>
    <n v="15.133333333333333"/>
    <n v="15.133333333333333"/>
    <n v="0.14317180616740088"/>
    <s v="Stable"/>
    <n v="268.00186566514793"/>
    <n v="300.13519899848126"/>
    <n v="674.8648010015188"/>
    <s v=" Safe"/>
    <n v="5448"/>
    <n v="1599423.8399999999"/>
    <m/>
    <n v="3.5859114389358926E-3"/>
    <n v="0.3708994908225417"/>
    <s v="A"/>
    <s v="X"/>
    <s v="AX"/>
    <s v="Strict Control"/>
    <s v="Daily"/>
    <s v="Strict Replenishment"/>
    <s v="Low"/>
    <n v="50"/>
    <x v="2"/>
  </r>
  <r>
    <s v="ITEM481"/>
    <s v="Connector"/>
    <s v="Raw Material"/>
    <x v="3"/>
    <n v="380"/>
    <n v="454"/>
    <n v="44"/>
    <n v="19"/>
    <n v="293.57"/>
    <n v="0.24"/>
    <n v="925"/>
    <n v="0.85"/>
    <n v="7"/>
    <n v="15.133333333333333"/>
    <n v="15.133333333333333"/>
    <n v="9.6916299559471369E-2"/>
    <s v="Stable"/>
    <n v="191.79155351578964"/>
    <n v="225.92488684912297"/>
    <n v="154.07511315087703"/>
    <s v=" Risk"/>
    <n v="5448"/>
    <n v="1599369.3599999999"/>
    <m/>
    <n v="3.5857892946672457E-3"/>
    <n v="0.37448528011720894"/>
    <s v="A"/>
    <s v="X"/>
    <s v="AX"/>
    <s v="Strict Control"/>
    <s v="Daily"/>
    <s v="Strict Replenishment"/>
    <s v="Low"/>
    <n v="50"/>
    <x v="2"/>
  </r>
  <r>
    <s v="ITEM143"/>
    <s v="Rod"/>
    <s v="Finished Goods"/>
    <x v="2"/>
    <n v="60"/>
    <n v="379"/>
    <n v="54"/>
    <n v="23"/>
    <n v="341.95"/>
    <n v="0.1"/>
    <n v="741"/>
    <n v="0.75"/>
    <n v="6"/>
    <n v="12.633333333333333"/>
    <n v="12.633333333333333"/>
    <n v="0.14248021108179421"/>
    <s v="Stable"/>
    <n v="258.97490225888686"/>
    <n v="294.60823559222018"/>
    <n v="-234.60823559222018"/>
    <s v=" Need to Order"/>
    <n v="4548"/>
    <n v="1555188.5999999999"/>
    <m/>
    <n v="3.4867359426396295E-3"/>
    <n v="0.37797201605984859"/>
    <s v="A"/>
    <s v="X"/>
    <s v="AX"/>
    <s v="Strict Control"/>
    <s v="Daily"/>
    <s v="Strict Replenishment"/>
    <s v="Low"/>
    <n v="50"/>
    <x v="2"/>
  </r>
  <r>
    <s v="ITEM262"/>
    <s v="Connector"/>
    <s v="Finished Goods"/>
    <x v="4"/>
    <n v="711"/>
    <n v="353"/>
    <n v="95"/>
    <n v="10"/>
    <n v="366.97"/>
    <n v="0.14000000000000001"/>
    <n v="436"/>
    <n v="0.72"/>
    <n v="1"/>
    <n v="11.766666666666667"/>
    <n v="11.766666666666667"/>
    <n v="0.26912181303116145"/>
    <s v="Moderate"/>
    <n v="300.41637771599608"/>
    <n v="322.18304438266273"/>
    <n v="388.81695561733727"/>
    <s v=" Safe"/>
    <n v="4236"/>
    <n v="1554484.9200000002"/>
    <m/>
    <n v="3.4851582906763141E-3"/>
    <n v="0.3814571743505249"/>
    <s v="A"/>
    <s v="Y"/>
    <s v="AY"/>
    <s v="Frequent Monitoring"/>
    <s v="Every 2 Days"/>
    <s v="Frequent Monitoring"/>
    <s v="High"/>
    <n v="50"/>
    <x v="2"/>
  </r>
  <r>
    <s v="ITEM259"/>
    <s v="Flange"/>
    <s v="Finished Goods"/>
    <x v="2"/>
    <n v="31"/>
    <n v="308"/>
    <n v="74"/>
    <n v="12"/>
    <n v="416.33"/>
    <n v="0.18"/>
    <n v="164"/>
    <n v="0.96"/>
    <n v="8"/>
    <n v="10.266666666666667"/>
    <n v="10.266666666666667"/>
    <n v="0.24025974025974026"/>
    <s v="Moderate"/>
    <n v="256.34351952019381"/>
    <n v="278.61018618686046"/>
    <n v="-247.61018618686046"/>
    <s v=" Need to Order"/>
    <n v="3696"/>
    <n v="1538755.68"/>
    <m/>
    <n v="3.4498933032282289E-3"/>
    <n v="0.3849070676537531"/>
    <s v="A"/>
    <s v="Y"/>
    <s v="AY"/>
    <s v="Frequent Monitoring"/>
    <s v="Every 2 Days"/>
    <s v="Frequent Monitoring"/>
    <s v="High"/>
    <n v="70"/>
    <x v="3"/>
  </r>
  <r>
    <s v="ITEM395"/>
    <s v="Connector"/>
    <s v="Finished Goods"/>
    <x v="0"/>
    <n v="9"/>
    <n v="435"/>
    <n v="20"/>
    <n v="24"/>
    <n v="289.62"/>
    <n v="0.2"/>
    <n v="971"/>
    <n v="0.92"/>
    <n v="6"/>
    <n v="14.5"/>
    <n v="14.5"/>
    <n v="4.5977011494252873E-2"/>
    <s v="Stable"/>
    <n v="97.979589711327122"/>
    <n v="136.47958971132712"/>
    <n v="-127.47958971132712"/>
    <s v=" Need to Order"/>
    <n v="5220"/>
    <n v="1511816.4000000001"/>
    <m/>
    <n v="3.3894953837444873E-3"/>
    <n v="0.3882965630374976"/>
    <s v="A"/>
    <s v="X"/>
    <s v="AX"/>
    <s v="Strict Control"/>
    <s v="Daily"/>
    <s v="Strict Replenishment"/>
    <s v="Low"/>
    <n v="50"/>
    <x v="2"/>
  </r>
  <r>
    <s v="ITEM283"/>
    <s v="Pipe B"/>
    <s v="Finished Goods"/>
    <x v="0"/>
    <n v="10"/>
    <n v="258"/>
    <n v="47"/>
    <n v="24"/>
    <n v="481.67"/>
    <n v="0.23"/>
    <n v="306"/>
    <n v="0.91"/>
    <n v="9"/>
    <n v="8.6"/>
    <n v="8.6"/>
    <n v="0.18217054263565891"/>
    <s v="Stable"/>
    <n v="230.25203582161873"/>
    <n v="262.85203582161876"/>
    <n v="-252.85203582161876"/>
    <s v=" Need to Order"/>
    <n v="3096"/>
    <n v="1491250.32"/>
    <m/>
    <n v="3.3433861913705191E-3"/>
    <n v="0.39163994922886813"/>
    <s v="A"/>
    <s v="X"/>
    <s v="AX"/>
    <s v="Strict Control"/>
    <s v="Daily"/>
    <s v="Strict Replenishment"/>
    <s v="Low"/>
    <n v="60"/>
    <x v="0"/>
  </r>
  <r>
    <s v="ITEM174"/>
    <s v="Flange"/>
    <s v="Finished Goods"/>
    <x v="0"/>
    <n v="497"/>
    <n v="465"/>
    <n v="40"/>
    <n v="20"/>
    <n v="265.07"/>
    <n v="0.06"/>
    <n v="310"/>
    <n v="0.83"/>
    <n v="7"/>
    <n v="15.5"/>
    <n v="15.5"/>
    <n v="8.6021505376344093E-2"/>
    <s v="Stable"/>
    <n v="178.88543819998318"/>
    <n v="214.38543819998318"/>
    <n v="282.61456180001682"/>
    <s v=" Safe"/>
    <n v="5580"/>
    <n v="1479090.5999999999"/>
    <m/>
    <n v="3.3161240748809601E-3"/>
    <n v="0.3949560733037491"/>
    <s v="A"/>
    <s v="X"/>
    <s v="AX"/>
    <s v="Strict Control"/>
    <s v="Daily"/>
    <s v="Strict Replenishment"/>
    <s v="Low"/>
    <n v="50"/>
    <x v="2"/>
  </r>
  <r>
    <s v="ITEM170"/>
    <s v="Connector"/>
    <s v="Raw Material"/>
    <x v="2"/>
    <n v="838"/>
    <n v="359"/>
    <n v="52"/>
    <n v="8"/>
    <n v="343.03"/>
    <n v="0.2"/>
    <n v="504"/>
    <n v="0.72"/>
    <n v="7"/>
    <n v="11.966666666666667"/>
    <n v="11.966666666666667"/>
    <n v="0.14484679665738162"/>
    <s v="Stable"/>
    <n v="147.07821048680191"/>
    <n v="167.04487715346858"/>
    <n v="670.95512284653137"/>
    <s v=" Safe"/>
    <n v="4308"/>
    <n v="1477773.24"/>
    <m/>
    <n v="3.3131705511338112E-3"/>
    <n v="0.39826924385488294"/>
    <s v="A"/>
    <s v="X"/>
    <s v="AX"/>
    <s v="Strict Control"/>
    <s v="Daily"/>
    <s v="Strict Replenishment"/>
    <s v="Low"/>
    <n v="50"/>
    <x v="2"/>
  </r>
  <r>
    <s v="ITEM280"/>
    <s v="Flange"/>
    <s v="Finished Goods"/>
    <x v="3"/>
    <n v="13"/>
    <n v="408"/>
    <n v="13"/>
    <n v="25"/>
    <n v="297.42"/>
    <n v="0.18"/>
    <n v="816"/>
    <n v="0.97"/>
    <n v="4"/>
    <n v="13.6"/>
    <n v="13.6"/>
    <n v="3.1862745098039214E-2"/>
    <s v="Stable"/>
    <n v="65"/>
    <n v="103.6"/>
    <n v="-90.6"/>
    <s v=" Need to Order"/>
    <n v="4896"/>
    <n v="1456168.32"/>
    <m/>
    <n v="3.2647322774081331E-3"/>
    <n v="0.40153397613229108"/>
    <s v="A"/>
    <s v="X"/>
    <s v="AX"/>
    <s v="Strict Control"/>
    <s v="Daily"/>
    <s v="Strict Replenishment"/>
    <s v="Low"/>
    <n v="40"/>
    <x v="1"/>
  </r>
  <r>
    <s v="ITEM111"/>
    <s v="Rod"/>
    <s v="Finished Goods"/>
    <x v="0"/>
    <n v="740"/>
    <n v="344"/>
    <n v="69"/>
    <n v="22"/>
    <n v="347.34"/>
    <n v="0.06"/>
    <n v="191"/>
    <n v="0.8"/>
    <n v="10"/>
    <n v="11.466666666666667"/>
    <n v="11.466666666666667"/>
    <n v="0.2005813953488372"/>
    <s v="Moderate"/>
    <n v="323.63868742781665"/>
    <n v="357.10535409448335"/>
    <n v="382.89464590551665"/>
    <s v=" Safe"/>
    <n v="4128"/>
    <n v="1433819.5199999998"/>
    <m/>
    <n v="3.2146262232389698E-3"/>
    <n v="0.40474860235553006"/>
    <s v="A"/>
    <s v="Y"/>
    <s v="AY"/>
    <s v="Frequent Monitoring"/>
    <s v="Every 2 Days"/>
    <s v="Frequent Monitoring"/>
    <s v="High"/>
    <n v="70"/>
    <x v="3"/>
  </r>
  <r>
    <s v="ITEM002"/>
    <s v="Sheet"/>
    <s v="Finished Goods"/>
    <x v="4"/>
    <n v="6"/>
    <n v="317"/>
    <n v="21"/>
    <n v="18"/>
    <n v="372.18"/>
    <n v="0.25"/>
    <n v="846"/>
    <n v="0.87"/>
    <n v="6"/>
    <n v="10.566666666666666"/>
    <n v="10.566666666666666"/>
    <n v="6.6246056782334389E-2"/>
    <s v="Stable"/>
    <n v="89.095454429504983"/>
    <n v="117.66212109617165"/>
    <n v="-111.66212109617165"/>
    <s v=" Need to Order"/>
    <n v="3804"/>
    <n v="1415772.72"/>
    <m/>
    <n v="3.174165261649084E-3"/>
    <n v="0.40792276761717916"/>
    <s v="A"/>
    <s v="X"/>
    <s v="AX"/>
    <s v="Strict Control"/>
    <s v="Daily"/>
    <s v="Strict Replenishment"/>
    <s v="Low"/>
    <n v="50"/>
    <x v="2"/>
  </r>
  <r>
    <s v="ITEM229"/>
    <s v="Flange"/>
    <s v="Finished Goods"/>
    <x v="3"/>
    <n v="737"/>
    <n v="264"/>
    <n v="69"/>
    <n v="1"/>
    <n v="445.54"/>
    <n v="0.18"/>
    <n v="769"/>
    <n v="0.72"/>
    <n v="9"/>
    <n v="8.8000000000000007"/>
    <n v="8.8000000000000007"/>
    <n v="0.26136363636363635"/>
    <s v="Moderate"/>
    <n v="69"/>
    <n v="78.8"/>
    <n v="658.2"/>
    <s v=" Safe"/>
    <n v="3168"/>
    <n v="1411470.72"/>
    <m/>
    <n v="3.1645201690698073E-3"/>
    <n v="0.41108728778624898"/>
    <s v="A"/>
    <s v="Y"/>
    <s v="AY"/>
    <s v="Frequent Monitoring"/>
    <s v="Every 2 Days"/>
    <s v="Frequent Monitoring"/>
    <s v="High"/>
    <n v="70"/>
    <x v="3"/>
  </r>
  <r>
    <s v="ITEM494"/>
    <s v="Connector"/>
    <s v="Raw Material"/>
    <x v="0"/>
    <n v="318"/>
    <n v="435"/>
    <n v="61"/>
    <n v="10"/>
    <n v="268.97000000000003"/>
    <n v="0.09"/>
    <n v="655"/>
    <n v="0.97"/>
    <n v="5"/>
    <n v="14.5"/>
    <n v="14.5"/>
    <n v="0.14022988505747128"/>
    <s v="Stable"/>
    <n v="192.89893727027115"/>
    <n v="217.39893727027115"/>
    <n v="100.60106272972885"/>
    <s v=" Risk"/>
    <n v="5220"/>
    <n v="1404023.4000000001"/>
    <m/>
    <n v="3.147823262777967E-3"/>
    <n v="0.41423511104902694"/>
    <s v="A"/>
    <s v="X"/>
    <s v="AX"/>
    <s v="Strict Control"/>
    <s v="Daily"/>
    <s v="Strict Replenishment"/>
    <s v="Low"/>
    <n v="50"/>
    <x v="2"/>
  </r>
  <r>
    <s v="ITEM396"/>
    <s v="Tube"/>
    <s v="Finished Goods"/>
    <x v="0"/>
    <n v="373"/>
    <n v="329"/>
    <n v="99"/>
    <n v="16"/>
    <n v="352.79"/>
    <n v="0.05"/>
    <n v="292"/>
    <n v="0.74"/>
    <n v="6"/>
    <n v="10.966666666666667"/>
    <n v="10.966666666666667"/>
    <n v="0.30091185410334348"/>
    <s v="Moderate"/>
    <n v="396"/>
    <n v="422.9666666666667"/>
    <n v="-49.966666666666697"/>
    <s v=" Need to Order"/>
    <n v="3948"/>
    <n v="1392814.9200000002"/>
    <m/>
    <n v="3.1226938282654217E-3"/>
    <n v="0.41735780487729235"/>
    <s v="A"/>
    <s v="Y"/>
    <s v="AY"/>
    <s v="Frequent Monitoring"/>
    <s v="Every 2 Days"/>
    <s v="Frequent Monitoring"/>
    <s v="High"/>
    <n v="60"/>
    <x v="0"/>
  </r>
  <r>
    <s v="ITEM318"/>
    <s v="Sheet"/>
    <s v="Finished Goods"/>
    <x v="4"/>
    <n v="289"/>
    <n v="312"/>
    <n v="50"/>
    <n v="28"/>
    <n v="371.27"/>
    <n v="0.08"/>
    <n v="829"/>
    <n v="0.81"/>
    <n v="7"/>
    <n v="10.4"/>
    <n v="10.4"/>
    <n v="0.16025641025641027"/>
    <s v="Stable"/>
    <n v="264.57513110645908"/>
    <n v="302.97513110645906"/>
    <n v="-13.97513110645906"/>
    <s v=" Need to Order"/>
    <n v="3744"/>
    <n v="1390034.88"/>
    <m/>
    <n v="3.1164609730413178E-3"/>
    <n v="0.42047426585033365"/>
    <s v="A"/>
    <s v="X"/>
    <s v="AX"/>
    <s v="Strict Control"/>
    <s v="Daily"/>
    <s v="Strict Replenishment"/>
    <s v="Low"/>
    <n v="50"/>
    <x v="2"/>
  </r>
  <r>
    <s v="ITEM139"/>
    <s v="Connector"/>
    <s v="Raw Material"/>
    <x v="4"/>
    <n v="321"/>
    <n v="491"/>
    <n v="82"/>
    <n v="3"/>
    <n v="234.44"/>
    <n v="0.11"/>
    <n v="562"/>
    <n v="0.94"/>
    <n v="8"/>
    <n v="16.366666666666667"/>
    <n v="16.366666666666667"/>
    <n v="0.16700610997963339"/>
    <s v="Stable"/>
    <n v="142.02816622064793"/>
    <n v="161.39483288731461"/>
    <n v="159.60516711268539"/>
    <s v=" Safe"/>
    <n v="5892"/>
    <n v="1381320.48"/>
    <m/>
    <n v="3.096923270862599E-3"/>
    <n v="0.42357118912119623"/>
    <s v="A"/>
    <s v="X"/>
    <s v="AX"/>
    <s v="Strict Control"/>
    <s v="Daily"/>
    <s v="Strict Replenishment"/>
    <s v="Low"/>
    <n v="60"/>
    <x v="0"/>
  </r>
  <r>
    <s v="ITEM089"/>
    <s v="Pipe B"/>
    <s v="Raw Material"/>
    <x v="1"/>
    <n v="973"/>
    <n v="314"/>
    <n v="77"/>
    <n v="24"/>
    <n v="365.92"/>
    <n v="7.0000000000000007E-2"/>
    <n v="493"/>
    <n v="0.8"/>
    <n v="5"/>
    <n v="10.466666666666667"/>
    <n v="10.466666666666667"/>
    <n v="0.24522292993630573"/>
    <s v="Moderate"/>
    <n v="377.22142038860937"/>
    <n v="411.68808705527601"/>
    <n v="561.31191294472399"/>
    <s v=" Safe"/>
    <n v="3768"/>
    <n v="1378786.56"/>
    <m/>
    <n v="3.0912422171693213E-3"/>
    <n v="0.42666243133836557"/>
    <s v="A"/>
    <s v="Y"/>
    <s v="AY"/>
    <s v="Frequent Monitoring"/>
    <s v="Every 2 Days"/>
    <s v="Frequent Monitoring"/>
    <s v="High"/>
    <n v="60"/>
    <x v="0"/>
  </r>
  <r>
    <s v="ITEM101"/>
    <s v="Tube"/>
    <s v="Raw Material"/>
    <x v="2"/>
    <n v="340"/>
    <n v="411"/>
    <n v="7"/>
    <n v="5"/>
    <n v="279.48"/>
    <n v="0.17"/>
    <n v="922"/>
    <n v="0.77"/>
    <n v="10"/>
    <n v="13.7"/>
    <n v="13.7"/>
    <n v="1.7031630170316302E-2"/>
    <s v="Stable"/>
    <n v="15.652475842498529"/>
    <n v="34.352475842498528"/>
    <n v="305.64752415750149"/>
    <s v=" Safe"/>
    <n v="4932"/>
    <n v="1378395.36"/>
    <m/>
    <n v="3.0903651459891698E-3"/>
    <n v="0.42975279648435472"/>
    <s v="A"/>
    <s v="X"/>
    <s v="AX"/>
    <s v="Strict Control"/>
    <s v="Daily"/>
    <s v="Strict Replenishment"/>
    <s v="Low"/>
    <n v="60"/>
    <x v="0"/>
  </r>
  <r>
    <s v="ITEM117"/>
    <s v="Sheet"/>
    <s v="Raw Material"/>
    <x v="4"/>
    <n v="528"/>
    <n v="440"/>
    <n v="10"/>
    <n v="11"/>
    <n v="260.22000000000003"/>
    <n v="0.06"/>
    <n v="466"/>
    <n v="0.74"/>
    <n v="5"/>
    <n v="14.666666666666666"/>
    <n v="14.666666666666666"/>
    <n v="2.2727272727272728E-2"/>
    <s v="Stable"/>
    <n v="33.166247903553995"/>
    <n v="58.832914570220659"/>
    <n v="469.16708542977932"/>
    <s v=" Safe"/>
    <n v="5280"/>
    <n v="1373961.6"/>
    <m/>
    <n v="3.08042464722713E-3"/>
    <n v="0.43283322113158185"/>
    <s v="A"/>
    <s v="X"/>
    <s v="AX"/>
    <s v="Strict Control"/>
    <s v="Daily"/>
    <s v="Strict Replenishment"/>
    <s v="Low"/>
    <n v="50"/>
    <x v="2"/>
  </r>
  <r>
    <s v="ITEM209"/>
    <s v="Valve"/>
    <s v="Finished Goods"/>
    <x v="2"/>
    <n v="895"/>
    <n v="248"/>
    <n v="78"/>
    <n v="17"/>
    <n v="460.72"/>
    <n v="0.22"/>
    <n v="985"/>
    <n v="0.73"/>
    <n v="8"/>
    <n v="8.2666666666666675"/>
    <n v="8.2666666666666675"/>
    <n v="0.31451612903225806"/>
    <s v="Moderate"/>
    <n v="321.60223879817755"/>
    <n v="346.8689054648442"/>
    <n v="548.13109453515585"/>
    <s v=" Safe"/>
    <n v="2976"/>
    <n v="1371102.72"/>
    <m/>
    <n v="3.0740150325657997E-3"/>
    <n v="0.43590723616414767"/>
    <s v="A"/>
    <s v="Y"/>
    <s v="AY"/>
    <s v="Frequent Monitoring"/>
    <s v="Every 2 Days"/>
    <s v="Frequent Monitoring"/>
    <s v="High"/>
    <n v="70"/>
    <x v="3"/>
  </r>
  <r>
    <s v="ITEM169"/>
    <s v="Rod"/>
    <s v="Raw Material"/>
    <x v="4"/>
    <n v="698"/>
    <n v="304"/>
    <n v="53"/>
    <n v="19"/>
    <n v="375.17"/>
    <n v="0.22"/>
    <n v="833"/>
    <n v="0.72"/>
    <n v="7"/>
    <n v="10.133333333333333"/>
    <n v="10.133333333333333"/>
    <n v="0.17434210526315788"/>
    <s v="Stable"/>
    <n v="231.02164400765571"/>
    <n v="260.15497734098903"/>
    <n v="437.84502265901097"/>
    <s v=" Safe"/>
    <n v="3648"/>
    <n v="1368620.1600000001"/>
    <m/>
    <n v="3.0684491280949474E-3"/>
    <n v="0.43897568529224262"/>
    <s v="A"/>
    <s v="X"/>
    <s v="AX"/>
    <s v="Strict Control"/>
    <s v="Daily"/>
    <s v="Strict Replenishment"/>
    <s v="Low"/>
    <n v="50"/>
    <x v="2"/>
  </r>
  <r>
    <s v="ITEM199"/>
    <s v="Pipe B"/>
    <s v="Raw Material"/>
    <x v="0"/>
    <n v="116"/>
    <n v="457"/>
    <n v="34"/>
    <n v="1"/>
    <n v="249.16"/>
    <n v="0.12"/>
    <n v="680"/>
    <n v="0.8"/>
    <n v="5"/>
    <n v="15.233333333333333"/>
    <n v="15.233333333333333"/>
    <n v="7.4398249452954049E-2"/>
    <s v="Stable"/>
    <n v="34"/>
    <n v="50.233333333333334"/>
    <n v="65.766666666666666"/>
    <s v=" Safe"/>
    <n v="5484"/>
    <n v="1366393.44"/>
    <m/>
    <n v="3.0634568174143038E-3"/>
    <n v="0.44203914210965695"/>
    <s v="A"/>
    <s v="X"/>
    <s v="AX"/>
    <s v="Strict Control"/>
    <s v="Daily"/>
    <s v="Strict Replenishment"/>
    <s v="Low"/>
    <n v="50"/>
    <x v="2"/>
  </r>
  <r>
    <s v="ITEM228"/>
    <s v="Pipe A"/>
    <s v="Finished Goods"/>
    <x v="4"/>
    <n v="500"/>
    <n v="337"/>
    <n v="34"/>
    <n v="22"/>
    <n v="337.41"/>
    <n v="0.16"/>
    <n v="163"/>
    <n v="0.76"/>
    <n v="2"/>
    <n v="11.233333333333333"/>
    <n v="11.233333333333333"/>
    <n v="0.10089020771513353"/>
    <s v="Stable"/>
    <n v="159.4741358339966"/>
    <n v="192.70746916732992"/>
    <n v="307.29253083267008"/>
    <s v=" Safe"/>
    <n v="4044"/>
    <n v="1364486.04"/>
    <m/>
    <n v="3.0591804228104653E-3"/>
    <n v="0.44509832253246739"/>
    <s v="A"/>
    <s v="X"/>
    <s v="AX"/>
    <s v="Strict Control"/>
    <s v="Daily"/>
    <s v="Strict Replenishment"/>
    <s v="Low"/>
    <n v="40"/>
    <x v="1"/>
  </r>
  <r>
    <s v="ITEM355"/>
    <s v="Tube"/>
    <s v="Raw Material"/>
    <x v="2"/>
    <n v="818"/>
    <n v="451"/>
    <n v="82"/>
    <n v="26"/>
    <n v="250.33"/>
    <n v="0.12"/>
    <n v="613"/>
    <n v="0.71"/>
    <n v="3"/>
    <n v="15.033333333333333"/>
    <n v="15.033333333333333"/>
    <n v="0.18181818181818182"/>
    <s v="Stable"/>
    <n v="418.11960011460832"/>
    <n v="459.15293344794168"/>
    <n v="358.84706655205832"/>
    <s v=" Risk"/>
    <n v="5412"/>
    <n v="1354785.96"/>
    <m/>
    <n v="3.0374328241060513E-3"/>
    <n v="0.44813575535657346"/>
    <s v="A"/>
    <s v="X"/>
    <s v="AX"/>
    <s v="Strict Control"/>
    <s v="Daily"/>
    <s v="Strict Replenishment"/>
    <s v="Low"/>
    <n v="40"/>
    <x v="1"/>
  </r>
  <r>
    <s v="ITEM063"/>
    <s v="Flange"/>
    <s v="Finished Goods"/>
    <x v="3"/>
    <n v="723"/>
    <n v="251"/>
    <n v="66"/>
    <n v="24"/>
    <n v="449.23"/>
    <n v="0.17"/>
    <n v="640"/>
    <n v="0.86"/>
    <n v="5"/>
    <n v="8.3666666666666671"/>
    <n v="8.3666666666666671"/>
    <n v="0.26294820717131473"/>
    <s v="Moderate"/>
    <n v="323.33264604737946"/>
    <n v="355.69931271404613"/>
    <n v="367.30068728595387"/>
    <s v=" Safe"/>
    <n v="3012"/>
    <n v="1353080.76"/>
    <m/>
    <n v="3.033609762305451E-3"/>
    <n v="0.4511693651188789"/>
    <s v="A"/>
    <s v="Y"/>
    <s v="AY"/>
    <s v="Frequent Monitoring"/>
    <s v="Every 2 Days"/>
    <s v="Frequent Monitoring"/>
    <s v="High"/>
    <n v="60"/>
    <x v="0"/>
  </r>
  <r>
    <s v="ITEM185"/>
    <s v="Tube"/>
    <s v="Raw Material"/>
    <x v="2"/>
    <n v="737"/>
    <n v="247"/>
    <n v="50"/>
    <n v="29"/>
    <n v="453.52"/>
    <n v="0.21"/>
    <n v="253"/>
    <n v="0.93"/>
    <n v="3"/>
    <n v="8.2333333333333325"/>
    <n v="8.2333333333333325"/>
    <n v="0.20242914979757085"/>
    <s v="Moderate"/>
    <n v="269.2582403567252"/>
    <n v="306.49157369005854"/>
    <n v="430.50842630994146"/>
    <s v=" Safe"/>
    <n v="2964"/>
    <n v="1344233.28"/>
    <m/>
    <n v="3.0137736945013366E-3"/>
    <n v="0.45418313881338024"/>
    <s v="A"/>
    <s v="Y"/>
    <s v="AY"/>
    <s v="Frequent Monitoring"/>
    <s v="Every 2 Days"/>
    <s v="Frequent Monitoring"/>
    <s v="High"/>
    <n v="50"/>
    <x v="2"/>
  </r>
  <r>
    <s v="ITEM339"/>
    <s v="Pipe B"/>
    <s v="Raw Material"/>
    <x v="0"/>
    <n v="688"/>
    <n v="452"/>
    <n v="91"/>
    <n v="2"/>
    <n v="247.73"/>
    <n v="0.09"/>
    <n v="293"/>
    <n v="0.94"/>
    <n v="3"/>
    <n v="15.066666666666666"/>
    <n v="15.066666666666666"/>
    <n v="0.20132743362831859"/>
    <s v="Moderate"/>
    <n v="128.69343417595167"/>
    <n v="145.76010084261833"/>
    <n v="542.23989915738161"/>
    <s v=" Safe"/>
    <n v="5424"/>
    <n v="1343687.52"/>
    <m/>
    <n v="3.0125500994929531E-3"/>
    <n v="0.45719568891287321"/>
    <s v="A"/>
    <s v="Y"/>
    <s v="AY"/>
    <s v="Frequent Monitoring"/>
    <s v="Every 2 Days"/>
    <s v="Frequent Monitoring"/>
    <s v="High"/>
    <n v="50"/>
    <x v="2"/>
  </r>
  <r>
    <s v="ITEM038"/>
    <s v="Tube"/>
    <s v="Finished Goods"/>
    <x v="2"/>
    <n v="885"/>
    <n v="265"/>
    <n v="61"/>
    <n v="12"/>
    <n v="419.95"/>
    <n v="7.0000000000000007E-2"/>
    <n v="169"/>
    <n v="1"/>
    <n v="5"/>
    <n v="8.8333333333333339"/>
    <n v="8.8333333333333339"/>
    <n v="0.23018867924528302"/>
    <s v="Moderate"/>
    <n v="211.31019852340302"/>
    <n v="232.14353185673636"/>
    <n v="652.85646814326367"/>
    <s v=" Safe"/>
    <n v="3180"/>
    <n v="1335441"/>
    <m/>
    <n v="2.9940613852073054E-3"/>
    <n v="0.46018975029808051"/>
    <s v="A"/>
    <s v="Y"/>
    <s v="AY"/>
    <s v="Frequent Monitoring"/>
    <s v="Every 2 Days"/>
    <s v="Frequent Monitoring"/>
    <s v="High"/>
    <n v="60"/>
    <x v="0"/>
  </r>
  <r>
    <s v="ITEM034"/>
    <s v="Connector"/>
    <s v="Raw Material"/>
    <x v="3"/>
    <n v="879"/>
    <n v="367"/>
    <n v="42"/>
    <n v="15"/>
    <n v="301.06"/>
    <n v="0.11"/>
    <n v="498"/>
    <n v="1"/>
    <n v="9"/>
    <n v="12.233333333333333"/>
    <n v="12.233333333333333"/>
    <n v="0.11444141689373297"/>
    <s v="Stable"/>
    <n v="162.66530054071151"/>
    <n v="189.89863387404483"/>
    <n v="689.10136612595511"/>
    <s v=" Safe"/>
    <n v="4404"/>
    <n v="1325868.24"/>
    <m/>
    <n v="2.9725992381967993E-3"/>
    <n v="0.46316234953627733"/>
    <s v="A"/>
    <s v="X"/>
    <s v="AX"/>
    <s v="Strict Control"/>
    <s v="Daily"/>
    <s v="Strict Replenishment"/>
    <s v="Low"/>
    <n v="60"/>
    <x v="0"/>
  </r>
  <r>
    <s v="ITEM342"/>
    <s v="Connector"/>
    <s v="Finished Goods"/>
    <x v="1"/>
    <n v="397"/>
    <n v="417"/>
    <n v="64"/>
    <n v="21"/>
    <n v="263.77"/>
    <n v="0.08"/>
    <n v="699"/>
    <n v="0.8"/>
    <n v="8"/>
    <n v="13.9"/>
    <n v="13.9"/>
    <n v="0.15347721822541965"/>
    <s v="Stable"/>
    <n v="293.28484447717375"/>
    <n v="328.18484447717373"/>
    <n v="68.815155522826274"/>
    <s v=" Risk"/>
    <n v="5004"/>
    <n v="1319905.0799999998"/>
    <m/>
    <n v="2.9592298215847489E-3"/>
    <n v="0.46612157935786208"/>
    <s v="A"/>
    <s v="X"/>
    <s v="AX"/>
    <s v="Strict Control"/>
    <s v="Daily"/>
    <s v="Strict Replenishment"/>
    <s v="Low"/>
    <n v="60"/>
    <x v="0"/>
  </r>
  <r>
    <s v="ITEM369"/>
    <s v="Pipe A"/>
    <s v="Finished Goods"/>
    <x v="0"/>
    <n v="817"/>
    <n v="442"/>
    <n v="74"/>
    <n v="25"/>
    <n v="248.74"/>
    <n v="0.21"/>
    <n v="301"/>
    <n v="0.72"/>
    <n v="5"/>
    <n v="14.733333333333333"/>
    <n v="14.733333333333333"/>
    <n v="0.167420814479638"/>
    <s v="Stable"/>
    <n v="370"/>
    <n v="409.73333333333335"/>
    <n v="407.26666666666665"/>
    <s v=" Safe"/>
    <n v="5304"/>
    <n v="1319316.96"/>
    <m/>
    <n v="2.9579112553718891E-3"/>
    <n v="0.46907949061323395"/>
    <s v="A"/>
    <s v="X"/>
    <s v="AX"/>
    <s v="Strict Control"/>
    <s v="Daily"/>
    <s v="Strict Replenishment"/>
    <s v="Low"/>
    <n v="50"/>
    <x v="2"/>
  </r>
  <r>
    <s v="ITEM070"/>
    <s v="Pipe A"/>
    <s v="Raw Material"/>
    <x v="3"/>
    <n v="890"/>
    <n v="276"/>
    <n v="73"/>
    <n v="29"/>
    <n v="397.38"/>
    <n v="0.12"/>
    <n v="890"/>
    <n v="0.95"/>
    <n v="3"/>
    <n v="9.1999999999999993"/>
    <n v="9.1999999999999993"/>
    <n v="0.26449275362318841"/>
    <s v="Moderate"/>
    <n v="393.11703092081876"/>
    <n v="431.31703092081875"/>
    <n v="458.68296907918125"/>
    <s v=" Safe"/>
    <n v="3312"/>
    <n v="1316122.56"/>
    <m/>
    <n v="2.9507494042014474E-3"/>
    <n v="0.47203024001743538"/>
    <s v="A"/>
    <s v="Y"/>
    <s v="AY"/>
    <s v="Frequent Monitoring"/>
    <s v="Every 2 Days"/>
    <s v="Frequent Monitoring"/>
    <s v="High"/>
    <n v="50"/>
    <x v="2"/>
  </r>
  <r>
    <s v="ITEM500"/>
    <s v="Tube"/>
    <s v="Finished Goods"/>
    <x v="3"/>
    <n v="471"/>
    <n v="282"/>
    <n v="7"/>
    <n v="30"/>
    <n v="388.55"/>
    <n v="0.16"/>
    <n v="571"/>
    <n v="0.78"/>
    <n v="2"/>
    <n v="9.4"/>
    <n v="9.4"/>
    <n v="2.4822695035460994E-2"/>
    <s v="Stable"/>
    <n v="38.340579025361627"/>
    <n v="77.740579025361626"/>
    <n v="393.25942097463837"/>
    <s v=" Safe"/>
    <n v="3384"/>
    <n v="1314853.2"/>
    <m/>
    <n v="2.947903496550022E-3"/>
    <n v="0.47497814351398537"/>
    <s v="A"/>
    <s v="X"/>
    <s v="AX"/>
    <s v="Strict Control"/>
    <s v="Daily"/>
    <s v="Strict Replenishment"/>
    <s v="Low"/>
    <n v="40"/>
    <x v="1"/>
  </r>
  <r>
    <s v="ITEM235"/>
    <s v="Valve"/>
    <s v="Raw Material"/>
    <x v="4"/>
    <n v="37"/>
    <n v="269"/>
    <n v="65"/>
    <n v="6"/>
    <n v="405.74"/>
    <n v="0.24"/>
    <n v="890"/>
    <n v="0.89"/>
    <n v="5"/>
    <n v="8.9666666666666668"/>
    <n v="8.9666666666666668"/>
    <n v="0.24163568773234201"/>
    <s v="Moderate"/>
    <n v="159.21683328090657"/>
    <n v="174.18349994757324"/>
    <n v="-137.18349994757324"/>
    <s v=" Need to Order"/>
    <n v="3228"/>
    <n v="1309728.72"/>
    <m/>
    <n v="2.9364144021705122E-3"/>
    <n v="0.47791455791615589"/>
    <s v="A"/>
    <s v="Y"/>
    <s v="AY"/>
    <s v="Frequent Monitoring"/>
    <s v="Every 2 Days"/>
    <s v="Frequent Monitoring"/>
    <s v="High"/>
    <n v="60"/>
    <x v="0"/>
  </r>
  <r>
    <s v="ITEM320"/>
    <s v="Tube"/>
    <s v="Raw Material"/>
    <x v="2"/>
    <n v="408"/>
    <n v="425"/>
    <n v="12"/>
    <n v="11"/>
    <n v="256.74"/>
    <n v="0.2"/>
    <n v="828"/>
    <n v="0.77"/>
    <n v="5"/>
    <n v="14.166666666666666"/>
    <n v="14.166666666666666"/>
    <n v="2.823529411764706E-2"/>
    <s v="Stable"/>
    <n v="39.799497484264798"/>
    <n v="64.966164150931462"/>
    <n v="343.03383584906851"/>
    <s v=" Safe"/>
    <n v="5100"/>
    <n v="1309374"/>
    <m/>
    <n v="2.935619119223111E-3"/>
    <n v="0.48085017703537902"/>
    <s v="A"/>
    <s v="X"/>
    <s v="AX"/>
    <s v="Strict Control"/>
    <s v="Daily"/>
    <s v="Strict Replenishment"/>
    <s v="Low"/>
    <n v="50"/>
    <x v="2"/>
  </r>
  <r>
    <s v="ITEM093"/>
    <s v="Valve"/>
    <s v="Raw Material"/>
    <x v="1"/>
    <n v="429"/>
    <n v="381"/>
    <n v="16"/>
    <n v="28"/>
    <n v="284.31"/>
    <n v="0.1"/>
    <n v="302"/>
    <n v="1"/>
    <n v="1"/>
    <n v="12.7"/>
    <n v="12.7"/>
    <n v="4.1994750656167978E-2"/>
    <s v="Stable"/>
    <n v="84.664041954066903"/>
    <n v="125.36404195406691"/>
    <n v="303.63595804593308"/>
    <s v=" Safe"/>
    <n v="4572"/>
    <n v="1299865.32"/>
    <m/>
    <n v="2.9143006397003967E-3"/>
    <n v="0.48376447767507941"/>
    <s v="A"/>
    <s v="X"/>
    <s v="AX"/>
    <s v="Strict Control"/>
    <s v="Daily"/>
    <s v="Strict Replenishment"/>
    <s v="Low"/>
    <n v="40"/>
    <x v="1"/>
  </r>
  <r>
    <s v="ITEM176"/>
    <s v="Rod"/>
    <s v="Finished Goods"/>
    <x v="3"/>
    <n v="113"/>
    <n v="276"/>
    <n v="55"/>
    <n v="29"/>
    <n v="389.52"/>
    <n v="0.23"/>
    <n v="161"/>
    <n v="0.82"/>
    <n v="1"/>
    <n v="9.1999999999999993"/>
    <n v="9.1999999999999993"/>
    <n v="0.19927536231884058"/>
    <s v="Stable"/>
    <n v="296.18406439239772"/>
    <n v="334.3840643923977"/>
    <n v="-221.3840643923977"/>
    <s v=" Need to Order"/>
    <n v="3312"/>
    <n v="1290090.24"/>
    <m/>
    <n v="2.8923848908464131E-3"/>
    <n v="0.48665686256592583"/>
    <s v="A"/>
    <s v="X"/>
    <s v="AX"/>
    <s v="Strict Control"/>
    <s v="Daily"/>
    <s v="Strict Replenishment"/>
    <s v="Low"/>
    <n v="40"/>
    <x v="1"/>
  </r>
  <r>
    <s v="ITEM186"/>
    <s v="Tube"/>
    <s v="Raw Material"/>
    <x v="2"/>
    <n v="481"/>
    <n v="252"/>
    <n v="54"/>
    <n v="3"/>
    <n v="425.52"/>
    <n v="0.13"/>
    <n v="987"/>
    <n v="0.88"/>
    <n v="9"/>
    <n v="8.4"/>
    <n v="8.4"/>
    <n v="0.21428571428571427"/>
    <s v="Moderate"/>
    <n v="93.530743608719362"/>
    <n v="104.93074360871937"/>
    <n v="376.06925639128065"/>
    <s v=" Safe"/>
    <n v="3024"/>
    <n v="1286772.48"/>
    <m/>
    <n v="2.8849464663099605E-3"/>
    <n v="0.48954180903223576"/>
    <s v="A"/>
    <s v="Y"/>
    <s v="AY"/>
    <s v="Frequent Monitoring"/>
    <s v="Every 2 Days"/>
    <s v="Frequent Monitoring"/>
    <s v="High"/>
    <n v="70"/>
    <x v="3"/>
  </r>
  <r>
    <s v="ITEM382"/>
    <s v="Tube"/>
    <s v="Raw Material"/>
    <x v="3"/>
    <n v="364"/>
    <n v="255"/>
    <n v="65"/>
    <n v="27"/>
    <n v="416.01"/>
    <n v="0.23"/>
    <n v="530"/>
    <n v="0.75"/>
    <n v="1"/>
    <n v="8.5"/>
    <n v="8.5"/>
    <n v="0.25490196078431371"/>
    <s v="Moderate"/>
    <n v="337.74990747593108"/>
    <n v="373.24990747593108"/>
    <n v="-9.2499074759310815"/>
    <s v=" Need to Order"/>
    <n v="3060"/>
    <n v="1272990.5999999999"/>
    <m/>
    <n v="2.8540474638654037E-3"/>
    <n v="0.49239585649610118"/>
    <s v="A"/>
    <s v="Y"/>
    <s v="AY"/>
    <s v="Frequent Monitoring"/>
    <s v="Every 2 Days"/>
    <s v="Frequent Monitoring"/>
    <s v="High"/>
    <n v="50"/>
    <x v="2"/>
  </r>
  <r>
    <s v="ITEM271"/>
    <s v="Rod"/>
    <s v="Raw Material"/>
    <x v="3"/>
    <n v="341"/>
    <n v="493"/>
    <n v="95"/>
    <n v="3"/>
    <n v="215.06"/>
    <n v="0.17"/>
    <n v="973"/>
    <n v="0.82"/>
    <n v="7"/>
    <n v="16.433333333333334"/>
    <n v="16.433333333333334"/>
    <n v="0.1926977687626775"/>
    <s v="Stable"/>
    <n v="164.54482671904333"/>
    <n v="183.97816005237667"/>
    <n v="157.02183994762333"/>
    <s v=" Risk"/>
    <n v="5916"/>
    <n v="1272294.96"/>
    <m/>
    <n v="2.8524878375981214E-3"/>
    <n v="0.4952483443336993"/>
    <s v="A"/>
    <s v="X"/>
    <s v="AX"/>
    <s v="Strict Control"/>
    <s v="Daily"/>
    <s v="Strict Replenishment"/>
    <s v="Low"/>
    <n v="50"/>
    <x v="2"/>
  </r>
  <r>
    <s v="ITEM423"/>
    <s v="Rod"/>
    <s v="Finished Goods"/>
    <x v="1"/>
    <n v="474"/>
    <n v="449"/>
    <n v="76"/>
    <n v="19"/>
    <n v="235.59"/>
    <n v="0.23"/>
    <n v="642"/>
    <n v="0.78"/>
    <n v="3"/>
    <n v="14.966666666666667"/>
    <n v="14.966666666666667"/>
    <n v="0.16926503340757237"/>
    <s v="Stable"/>
    <n v="331.27631970909124"/>
    <n v="365.24298637575794"/>
    <n v="108.75701362424206"/>
    <s v=" Risk"/>
    <n v="5388"/>
    <n v="1269358.92"/>
    <m/>
    <n v="2.8459052300629146E-3"/>
    <n v="0.49809424956376219"/>
    <s v="A"/>
    <s v="X"/>
    <s v="AX"/>
    <s v="Strict Control"/>
    <s v="Daily"/>
    <s v="Strict Replenishment"/>
    <s v="Low"/>
    <n v="40"/>
    <x v="1"/>
  </r>
  <r>
    <s v="ITEM159"/>
    <s v="Flange"/>
    <s v="Raw Material"/>
    <x v="3"/>
    <n v="578"/>
    <n v="350"/>
    <n v="66"/>
    <n v="22"/>
    <n v="299.7"/>
    <n v="0.24"/>
    <n v="187"/>
    <n v="0.94"/>
    <n v="7"/>
    <n v="11.666666666666666"/>
    <n v="11.666666666666666"/>
    <n v="0.18857142857142858"/>
    <s v="Stable"/>
    <n v="309.56744014834635"/>
    <n v="343.23410681501304"/>
    <n v="234.76589318498696"/>
    <s v=" Risk"/>
    <n v="4200"/>
    <n v="1258740"/>
    <m/>
    <n v="2.8220975902461011E-3"/>
    <n v="0.50091634715400835"/>
    <s v="A"/>
    <s v="X"/>
    <s v="AX"/>
    <s v="Strict Control"/>
    <s v="Daily"/>
    <s v="Strict Replenishment"/>
    <s v="Low"/>
    <n v="50"/>
    <x v="2"/>
  </r>
  <r>
    <s v="ITEM016"/>
    <s v="Sheet"/>
    <s v="Raw Material"/>
    <x v="0"/>
    <n v="818"/>
    <n v="459"/>
    <n v="100"/>
    <n v="9"/>
    <n v="224.52"/>
    <n v="0.23"/>
    <n v="555"/>
    <n v="0.87"/>
    <n v="5"/>
    <n v="15.3"/>
    <n v="15.3"/>
    <n v="0.2178649237472767"/>
    <s v="Moderate"/>
    <n v="300"/>
    <n v="324.3"/>
    <n v="493.7"/>
    <s v=" Safe"/>
    <n v="5508"/>
    <n v="1236656.1600000001"/>
    <m/>
    <n v="2.7725855769253358E-3"/>
    <n v="0.50368893273093374"/>
    <s v="A"/>
    <s v="Y"/>
    <s v="AY"/>
    <s v="Frequent Monitoring"/>
    <s v="Every 2 Days"/>
    <s v="Frequent Monitoring"/>
    <s v="High"/>
    <n v="60"/>
    <x v="0"/>
  </r>
  <r>
    <s v="ITEM272"/>
    <s v="Rod"/>
    <s v="Finished Goods"/>
    <x v="0"/>
    <n v="448"/>
    <n v="349"/>
    <n v="47"/>
    <n v="21"/>
    <n v="294.93"/>
    <n v="0.2"/>
    <n v="450"/>
    <n v="0.8"/>
    <n v="2"/>
    <n v="11.633333333333333"/>
    <n v="11.633333333333333"/>
    <n v="0.1346704871060172"/>
    <s v="Stable"/>
    <n v="215.38105766292446"/>
    <n v="248.01439099625779"/>
    <n v="199.98560900374221"/>
    <s v=" Risk"/>
    <n v="4188"/>
    <n v="1235166.8400000001"/>
    <m/>
    <n v="2.769246518515255E-3"/>
    <n v="0.50645817924944903"/>
    <s v="A"/>
    <s v="X"/>
    <s v="AX"/>
    <s v="Strict Control"/>
    <s v="Daily"/>
    <s v="Strict Replenishment"/>
    <s v="Low"/>
    <n v="40"/>
    <x v="1"/>
  </r>
  <r>
    <s v="ITEM446"/>
    <s v="Pipe B"/>
    <s v="Raw Material"/>
    <x v="1"/>
    <n v="623"/>
    <n v="307"/>
    <n v="72"/>
    <n v="6"/>
    <n v="334.4"/>
    <n v="0.24"/>
    <n v="829"/>
    <n v="0.94"/>
    <n v="5"/>
    <n v="10.233333333333333"/>
    <n v="10.233333333333333"/>
    <n v="0.23452768729641693"/>
    <s v="Moderate"/>
    <n v="176.36326148038881"/>
    <n v="192.59659481372216"/>
    <n v="430.40340518627784"/>
    <s v=" Safe"/>
    <n v="3684"/>
    <n v="1231929.5999999999"/>
    <m/>
    <n v="2.7619886199793785E-3"/>
    <n v="0.50922016786942836"/>
    <s v="A"/>
    <s v="Y"/>
    <s v="AY"/>
    <s v="Frequent Monitoring"/>
    <s v="Every 2 Days"/>
    <s v="Frequent Monitoring"/>
    <s v="High"/>
    <n v="60"/>
    <x v="0"/>
  </r>
  <r>
    <s v="ITEM388"/>
    <s v="Rod"/>
    <s v="Finished Goods"/>
    <x v="4"/>
    <n v="397"/>
    <n v="463"/>
    <n v="81"/>
    <n v="25"/>
    <n v="221.15"/>
    <n v="0.24"/>
    <n v="214"/>
    <n v="0.94"/>
    <n v="3"/>
    <n v="15.433333333333334"/>
    <n v="15.433333333333334"/>
    <n v="0.17494600431965443"/>
    <s v="Stable"/>
    <n v="405"/>
    <n v="445.43333333333334"/>
    <n v="-48.433333333333337"/>
    <s v=" Need to Order"/>
    <n v="5556"/>
    <n v="1228709.4000000001"/>
    <m/>
    <n v="2.7547689251574857E-3"/>
    <n v="0.51197493679458583"/>
    <s v="A"/>
    <s v="X"/>
    <s v="AX"/>
    <s v="Strict Control"/>
    <s v="Daily"/>
    <s v="Strict Replenishment"/>
    <s v="Low"/>
    <n v="40"/>
    <x v="1"/>
  </r>
  <r>
    <s v="ITEM263"/>
    <s v="Pipe A"/>
    <s v="Finished Goods"/>
    <x v="0"/>
    <n v="188"/>
    <n v="346"/>
    <n v="93"/>
    <n v="10"/>
    <n v="295.69"/>
    <n v="0.22"/>
    <n v="403"/>
    <n v="0.72"/>
    <n v="9"/>
    <n v="11.533333333333333"/>
    <n v="11.533333333333333"/>
    <n v="0.26878612716763006"/>
    <s v="Moderate"/>
    <n v="294.09182239565928"/>
    <n v="315.62515572899258"/>
    <n v="-127.62515572899258"/>
    <s v=" Need to Order"/>
    <n v="4152"/>
    <n v="1227704.8799999999"/>
    <m/>
    <n v="2.7525167893142177E-3"/>
    <n v="0.51472745358390004"/>
    <s v="A"/>
    <s v="Y"/>
    <s v="AY"/>
    <s v="Frequent Monitoring"/>
    <s v="Every 2 Days"/>
    <s v="Frequent Monitoring"/>
    <s v="High"/>
    <n v="70"/>
    <x v="3"/>
  </r>
  <r>
    <s v="ITEM443"/>
    <s v="Sheet"/>
    <s v="Finished Goods"/>
    <x v="2"/>
    <n v="639"/>
    <n v="488"/>
    <n v="83"/>
    <n v="12"/>
    <n v="209.04"/>
    <n v="7.0000000000000007E-2"/>
    <n v="758"/>
    <n v="0.76"/>
    <n v="7"/>
    <n v="16.266666666666666"/>
    <n v="16.266666666666666"/>
    <n v="0.17008196721311475"/>
    <s v="Stable"/>
    <n v="287.5204340564336"/>
    <n v="315.78710072310025"/>
    <n v="323.21289927689975"/>
    <s v=" Safe"/>
    <n v="5856"/>
    <n v="1224138.24"/>
    <m/>
    <n v="2.7445203753214352E-3"/>
    <n v="0.51747197395922151"/>
    <s v="A"/>
    <s v="X"/>
    <s v="AX"/>
    <s v="Strict Control"/>
    <s v="Daily"/>
    <s v="Strict Replenishment"/>
    <s v="Low"/>
    <n v="50"/>
    <x v="2"/>
  </r>
  <r>
    <s v="ITEM188"/>
    <s v="Pipe B"/>
    <s v="Finished Goods"/>
    <x v="2"/>
    <n v="158"/>
    <n v="235"/>
    <n v="21"/>
    <n v="25"/>
    <n v="432.53"/>
    <n v="0.21"/>
    <n v="494"/>
    <n v="0.75"/>
    <n v="5"/>
    <n v="7.833333333333333"/>
    <n v="7.833333333333333"/>
    <n v="8.9361702127659579E-2"/>
    <s v="Stable"/>
    <n v="105"/>
    <n v="137.83333333333334"/>
    <n v="20.166666666666657"/>
    <s v=" Risk"/>
    <n v="2820"/>
    <n v="1219734.5999999999"/>
    <m/>
    <n v="2.7346474056594624E-3"/>
    <n v="0.52020662136488094"/>
    <s v="A"/>
    <s v="X"/>
    <s v="AX"/>
    <s v="Strict Control"/>
    <s v="Daily"/>
    <s v="Strict Replenishment"/>
    <s v="Low"/>
    <n v="50"/>
    <x v="2"/>
  </r>
  <r>
    <s v="ITEM193"/>
    <s v="Pipe B"/>
    <s v="Raw Material"/>
    <x v="0"/>
    <n v="842"/>
    <n v="380"/>
    <n v="70"/>
    <n v="6"/>
    <n v="267.29000000000002"/>
    <n v="0.1"/>
    <n v="943"/>
    <n v="0.93"/>
    <n v="8"/>
    <n v="12.666666666666666"/>
    <n v="12.666666666666666"/>
    <n v="0.18421052631578946"/>
    <s v="Stable"/>
    <n v="171.46428199482244"/>
    <n v="190.1309486614891"/>
    <n v="651.86905133851087"/>
    <s v=" Safe"/>
    <n v="4560"/>
    <n v="1218842.4000000001"/>
    <m/>
    <n v="2.7326470914801906E-3"/>
    <n v="0.52293926845636118"/>
    <s v="A"/>
    <s v="X"/>
    <s v="AX"/>
    <s v="Strict Control"/>
    <s v="Daily"/>
    <s v="Strict Replenishment"/>
    <s v="Low"/>
    <n v="60"/>
    <x v="0"/>
  </r>
  <r>
    <s v="ITEM452"/>
    <s v="Flange"/>
    <s v="Finished Goods"/>
    <x v="3"/>
    <n v="557"/>
    <n v="294"/>
    <n v="48"/>
    <n v="11"/>
    <n v="343.53"/>
    <n v="0.17"/>
    <n v="664"/>
    <n v="0.72"/>
    <n v="7"/>
    <n v="9.8000000000000007"/>
    <n v="9.8000000000000007"/>
    <n v="0.16326530612244897"/>
    <s v="Stable"/>
    <n v="159.19798993705919"/>
    <n v="179.9979899370592"/>
    <n v="377.00201006294083"/>
    <s v=" Safe"/>
    <n v="3528"/>
    <n v="1211973.8399999999"/>
    <m/>
    <n v="2.7172477662625429E-3"/>
    <n v="0.52565651622262377"/>
    <s v="A"/>
    <s v="X"/>
    <s v="AX"/>
    <s v="Strict Control"/>
    <s v="Daily"/>
    <s v="Strict Replenishment"/>
    <s v="Low"/>
    <n v="50"/>
    <x v="2"/>
  </r>
  <r>
    <s v="ITEM270"/>
    <s v="Valve"/>
    <s v="Raw Material"/>
    <x v="2"/>
    <n v="827"/>
    <n v="348"/>
    <n v="41"/>
    <n v="16"/>
    <n v="290.14"/>
    <n v="0.23"/>
    <n v="414"/>
    <n v="0.83"/>
    <n v="7"/>
    <n v="11.6"/>
    <n v="11.6"/>
    <n v="0.11781609195402298"/>
    <s v="Stable"/>
    <n v="164"/>
    <n v="191.6"/>
    <n v="635.4"/>
    <s v=" Safe"/>
    <n v="4176"/>
    <n v="1211624.6399999999"/>
    <m/>
    <n v="2.7164648591661501E-3"/>
    <n v="0.52837298108178987"/>
    <s v="A"/>
    <s v="X"/>
    <s v="AX"/>
    <s v="Strict Control"/>
    <s v="Daily"/>
    <s v="Strict Replenishment"/>
    <s v="Low"/>
    <n v="50"/>
    <x v="2"/>
  </r>
  <r>
    <s v="ITEM465"/>
    <s v="Tube"/>
    <s v="Finished Goods"/>
    <x v="1"/>
    <n v="613"/>
    <n v="329"/>
    <n v="18"/>
    <n v="22"/>
    <n v="305.29000000000002"/>
    <n v="0.17"/>
    <n v="661"/>
    <n v="0.96"/>
    <n v="8"/>
    <n v="10.966666666666667"/>
    <n v="10.966666666666667"/>
    <n v="5.4711246200607903E-2"/>
    <s v="Stable"/>
    <n v="84.427483676821737"/>
    <n v="117.39415034348841"/>
    <n v="495.60584965651162"/>
    <s v=" Safe"/>
    <n v="3948"/>
    <n v="1205284.9200000002"/>
    <m/>
    <n v="2.7022511942831444E-3"/>
    <n v="0.53107523227607301"/>
    <s v="A"/>
    <s v="X"/>
    <s v="AX"/>
    <s v="Strict Control"/>
    <s v="Daily"/>
    <s v="Strict Replenishment"/>
    <s v="Low"/>
    <n v="60"/>
    <x v="0"/>
  </r>
  <r>
    <s v="ITEM177"/>
    <s v="Rod"/>
    <s v="Raw Material"/>
    <x v="1"/>
    <n v="40"/>
    <n v="293"/>
    <n v="5"/>
    <n v="13"/>
    <n v="342.06"/>
    <n v="0.09"/>
    <n v="639"/>
    <n v="0.9"/>
    <n v="8"/>
    <n v="9.7666666666666675"/>
    <n v="9.7666666666666675"/>
    <n v="1.7064846416382253E-2"/>
    <s v="Stable"/>
    <n v="18.027756377319946"/>
    <n v="40.794423043986612"/>
    <n v="-0.79442304398661179"/>
    <s v=" Need to Order"/>
    <n v="3516"/>
    <n v="1202682.96"/>
    <m/>
    <n v="2.6964175947741774E-3"/>
    <n v="0.53377164987084713"/>
    <s v="A"/>
    <s v="X"/>
    <s v="AX"/>
    <s v="Strict Control"/>
    <s v="Daily"/>
    <s v="Strict Replenishment"/>
    <s v="Low"/>
    <n v="60"/>
    <x v="0"/>
  </r>
  <r>
    <s v="ITEM203"/>
    <s v="Flange"/>
    <s v="Raw Material"/>
    <x v="3"/>
    <n v="675"/>
    <n v="303"/>
    <n v="30"/>
    <n v="15"/>
    <n v="328.15"/>
    <n v="0.06"/>
    <n v="865"/>
    <n v="0.77"/>
    <n v="3"/>
    <n v="10.1"/>
    <n v="10.1"/>
    <n v="9.9009900990099015E-2"/>
    <s v="Stable"/>
    <n v="116.18950038622251"/>
    <n v="141.2895003862225"/>
    <n v="533.71049961377753"/>
    <s v=" Safe"/>
    <n v="3636"/>
    <n v="1193153.3999999999"/>
    <m/>
    <n v="2.6750523022498231E-3"/>
    <n v="0.53644670217309698"/>
    <s v="A"/>
    <s v="X"/>
    <s v="AX"/>
    <s v="Strict Control"/>
    <s v="Daily"/>
    <s v="Strict Replenishment"/>
    <s v="Low"/>
    <n v="40"/>
    <x v="1"/>
  </r>
  <r>
    <s v="ITEM046"/>
    <s v="Flange"/>
    <s v="Raw Material"/>
    <x v="3"/>
    <n v="455"/>
    <n v="257"/>
    <n v="62"/>
    <n v="2"/>
    <n v="385.3"/>
    <n v="0.15"/>
    <n v="948"/>
    <n v="0.94"/>
    <n v="1"/>
    <n v="8.5666666666666664"/>
    <n v="8.5666666666666664"/>
    <n v="0.24124513618677043"/>
    <s v="Moderate"/>
    <n v="87.681240867131905"/>
    <n v="98.247907533798568"/>
    <n v="356.75209246620142"/>
    <s v=" Safe"/>
    <n v="3084"/>
    <n v="1188265.2"/>
    <m/>
    <n v="2.6640929481015151E-3"/>
    <n v="0.53911079512119853"/>
    <s v="A"/>
    <s v="Y"/>
    <s v="AY"/>
    <s v="Frequent Monitoring"/>
    <s v="Every 2 Days"/>
    <s v="Frequent Monitoring"/>
    <s v="High"/>
    <n v="50"/>
    <x v="2"/>
  </r>
  <r>
    <s v="ITEM378"/>
    <s v="Connector"/>
    <s v="Finished Goods"/>
    <x v="1"/>
    <n v="839"/>
    <n v="393"/>
    <n v="89"/>
    <n v="13"/>
    <n v="249.58"/>
    <n v="0.16"/>
    <n v="634"/>
    <n v="0.82"/>
    <n v="9"/>
    <n v="13.1"/>
    <n v="13.1"/>
    <n v="0.22646310432569974"/>
    <s v="Moderate"/>
    <n v="320.89406351629503"/>
    <n v="346.99406351629506"/>
    <n v="492.00593648370494"/>
    <s v=" Safe"/>
    <n v="4716"/>
    <n v="1177019.28"/>
    <m/>
    <n v="2.6388795730343051E-3"/>
    <n v="0.54174967469423285"/>
    <s v="A"/>
    <s v="Y"/>
    <s v="AY"/>
    <s v="Frequent Monitoring"/>
    <s v="Every 2 Days"/>
    <s v="Frequent Monitoring"/>
    <s v="High"/>
    <n v="70"/>
    <x v="3"/>
  </r>
  <r>
    <s v="ITEM363"/>
    <s v="Rod"/>
    <s v="Finished Goods"/>
    <x v="2"/>
    <n v="69"/>
    <n v="470"/>
    <n v="34"/>
    <n v="9"/>
    <n v="207.45"/>
    <n v="0.09"/>
    <n v="213"/>
    <n v="0.92"/>
    <n v="5"/>
    <n v="15.666666666666666"/>
    <n v="15.666666666666666"/>
    <n v="7.2340425531914887E-2"/>
    <s v="Stable"/>
    <n v="102"/>
    <n v="126.66666666666666"/>
    <n v="-57.666666666666657"/>
    <s v=" Need to Order"/>
    <n v="5640"/>
    <n v="1170018"/>
    <m/>
    <n v="2.6231826893119807E-3"/>
    <n v="0.54437285738354479"/>
    <s v="A"/>
    <s v="X"/>
    <s v="AX"/>
    <s v="Strict Control"/>
    <s v="Daily"/>
    <s v="Strict Replenishment"/>
    <s v="Low"/>
    <n v="50"/>
    <x v="2"/>
  </r>
  <r>
    <s v="ITEM065"/>
    <s v="Tube"/>
    <s v="Raw Material"/>
    <x v="0"/>
    <n v="596"/>
    <n v="433"/>
    <n v="68"/>
    <n v="22"/>
    <n v="224.91"/>
    <n v="0.2"/>
    <n v="153"/>
    <n v="0.82"/>
    <n v="7"/>
    <n v="14.433333333333334"/>
    <n v="14.433333333333334"/>
    <n v="0.15704387990762125"/>
    <s v="Stable"/>
    <n v="318.9482716679932"/>
    <n v="355.38160500132653"/>
    <n v="240.61839499867347"/>
    <s v=" Risk"/>
    <n v="5196"/>
    <n v="1168632.3599999999"/>
    <m/>
    <n v="2.6200760816686638E-3"/>
    <n v="0.54699293346521349"/>
    <s v="A"/>
    <s v="X"/>
    <s v="AX"/>
    <s v="Strict Control"/>
    <s v="Daily"/>
    <s v="Strict Replenishment"/>
    <s v="Low"/>
    <n v="50"/>
    <x v="2"/>
  </r>
  <r>
    <s v="ITEM036"/>
    <s v="Sheet"/>
    <s v="Raw Material"/>
    <x v="1"/>
    <n v="100"/>
    <n v="305"/>
    <n v="16"/>
    <n v="19"/>
    <n v="318.83999999999997"/>
    <n v="0.09"/>
    <n v="101"/>
    <n v="0.93"/>
    <n v="8"/>
    <n v="10.166666666666666"/>
    <n v="10.166666666666666"/>
    <n v="5.2459016393442623E-2"/>
    <s v="Stable"/>
    <n v="69.742383096650784"/>
    <n v="98.909049763317455"/>
    <n v="1.090950236682545"/>
    <s v=" Risk"/>
    <n v="3660"/>
    <n v="1166954.3999999999"/>
    <m/>
    <n v="2.6163140920023868E-3"/>
    <n v="0.54960924755721585"/>
    <s v="A"/>
    <s v="X"/>
    <s v="AX"/>
    <s v="Strict Control"/>
    <s v="Daily"/>
    <s v="Strict Replenishment"/>
    <s v="Low"/>
    <n v="60"/>
    <x v="0"/>
  </r>
  <r>
    <s v="ITEM477"/>
    <s v="Valve"/>
    <s v="Raw Material"/>
    <x v="0"/>
    <n v="928"/>
    <n v="363"/>
    <n v="63"/>
    <n v="19"/>
    <n v="267.06"/>
    <n v="0.19"/>
    <n v="577"/>
    <n v="0.79"/>
    <n v="3"/>
    <n v="12.1"/>
    <n v="12.1"/>
    <n v="0.17355371900826447"/>
    <s v="Stable"/>
    <n v="274.61063344306245"/>
    <n v="305.71063344306248"/>
    <n v="622.28936655693747"/>
    <s v=" Safe"/>
    <n v="4356"/>
    <n v="1163313.3600000001"/>
    <m/>
    <n v="2.6081508730612323E-3"/>
    <n v="0.55221739843027706"/>
    <s v="A"/>
    <s v="X"/>
    <s v="AX"/>
    <s v="Strict Control"/>
    <s v="Daily"/>
    <s v="Strict Replenishment"/>
    <s v="Low"/>
    <n v="40"/>
    <x v="1"/>
  </r>
  <r>
    <s v="ITEM459"/>
    <s v="Sheet"/>
    <s v="Raw Material"/>
    <x v="1"/>
    <n v="152"/>
    <n v="347"/>
    <n v="85"/>
    <n v="5"/>
    <n v="278.72000000000003"/>
    <n v="0.22"/>
    <n v="184"/>
    <n v="0.95"/>
    <n v="7"/>
    <n v="11.566666666666666"/>
    <n v="11.566666666666666"/>
    <n v="0.24495677233429394"/>
    <s v="Moderate"/>
    <n v="190.06577808748213"/>
    <n v="206.63244475414879"/>
    <n v="-54.632444754148793"/>
    <s v=" Need to Order"/>
    <n v="4164"/>
    <n v="1160590.08"/>
    <m/>
    <n v="2.6020452738703226E-3"/>
    <n v="0.55481944370414737"/>
    <s v="A"/>
    <s v="Y"/>
    <s v="AY"/>
    <s v="Frequent Monitoring"/>
    <s v="Every 2 Days"/>
    <s v="Frequent Monitoring"/>
    <s v="High"/>
    <n v="60"/>
    <x v="0"/>
  </r>
  <r>
    <s v="ITEM092"/>
    <s v="Connector"/>
    <s v="Finished Goods"/>
    <x v="3"/>
    <n v="633"/>
    <n v="484"/>
    <n v="30"/>
    <n v="24"/>
    <n v="199.61"/>
    <n v="0.24"/>
    <n v="557"/>
    <n v="0.95"/>
    <n v="6"/>
    <n v="16.133333333333333"/>
    <n v="16.133333333333333"/>
    <n v="6.1983471074380167E-2"/>
    <s v="Stable"/>
    <n v="146.96938456699067"/>
    <n v="187.102717900324"/>
    <n v="445.89728209967598"/>
    <s v=" Safe"/>
    <n v="5808"/>
    <n v="1159334.8800000001"/>
    <m/>
    <n v="2.5992311129671365E-3"/>
    <n v="0.55741867481711449"/>
    <s v="A"/>
    <s v="X"/>
    <s v="AX"/>
    <s v="Strict Control"/>
    <s v="Daily"/>
    <s v="Strict Replenishment"/>
    <s v="Low"/>
    <n v="50"/>
    <x v="2"/>
  </r>
  <r>
    <s v="ITEM334"/>
    <s v="Pipe B"/>
    <s v="Finished Goods"/>
    <x v="4"/>
    <n v="851"/>
    <n v="286"/>
    <n v="72"/>
    <n v="9"/>
    <n v="337.42"/>
    <n v="0.22"/>
    <n v="431"/>
    <n v="0.94"/>
    <n v="2"/>
    <n v="9.5333333333333332"/>
    <n v="9.5333333333333332"/>
    <n v="0.25174825174825177"/>
    <s v="Moderate"/>
    <n v="216"/>
    <n v="234.53333333333333"/>
    <n v="616.4666666666667"/>
    <s v=" Safe"/>
    <n v="3432"/>
    <n v="1158025.44"/>
    <m/>
    <n v="2.5962953458757813E-3"/>
    <n v="0.56001497016299029"/>
    <s v="A"/>
    <s v="Y"/>
    <s v="AY"/>
    <s v="Frequent Monitoring"/>
    <s v="Every 2 Days"/>
    <s v="Frequent Monitoring"/>
    <s v="High"/>
    <n v="50"/>
    <x v="2"/>
  </r>
  <r>
    <s v="ITEM488"/>
    <s v="Sheet"/>
    <s v="Raw Material"/>
    <x v="4"/>
    <n v="564"/>
    <n v="473"/>
    <n v="80"/>
    <n v="7"/>
    <n v="203.58"/>
    <n v="0.25"/>
    <n v="786"/>
    <n v="0.72"/>
    <n v="5"/>
    <n v="15.766666666666667"/>
    <n v="15.766666666666667"/>
    <n v="0.16913319238900634"/>
    <s v="Stable"/>
    <n v="211.66010488516724"/>
    <n v="234.42677155183389"/>
    <n v="329.57322844816611"/>
    <s v=" Safe"/>
    <n v="5676"/>
    <n v="1155520.08"/>
    <m/>
    <n v="2.5906783237594597E-3"/>
    <n v="0.56260564848674977"/>
    <s v="A"/>
    <s v="X"/>
    <s v="AX"/>
    <s v="Strict Control"/>
    <s v="Daily"/>
    <s v="Strict Replenishment"/>
    <s v="Low"/>
    <n v="50"/>
    <x v="2"/>
  </r>
  <r>
    <s v="ITEM060"/>
    <s v="Pipe A"/>
    <s v="Raw Material"/>
    <x v="2"/>
    <n v="910"/>
    <n v="264"/>
    <n v="73"/>
    <n v="6"/>
    <n v="364.07"/>
    <n v="0.19"/>
    <n v="667"/>
    <n v="0.88"/>
    <n v="6"/>
    <n v="8.8000000000000007"/>
    <n v="8.8000000000000007"/>
    <n v="0.27651515151515149"/>
    <s v="Moderate"/>
    <n v="178.81275122317197"/>
    <n v="193.61275122317198"/>
    <n v="716.38724877682807"/>
    <s v=" Safe"/>
    <n v="3168"/>
    <n v="1153373.76"/>
    <m/>
    <n v="2.5858662700391543E-3"/>
    <n v="0.56519151475678897"/>
    <s v="A"/>
    <s v="Y"/>
    <s v="AY"/>
    <s v="Frequent Monitoring"/>
    <s v="Every 2 Days"/>
    <s v="Frequent Monitoring"/>
    <s v="High"/>
    <n v="60"/>
    <x v="0"/>
  </r>
  <r>
    <s v="ITEM404"/>
    <s v="Pipe B"/>
    <s v="Raw Material"/>
    <x v="4"/>
    <n v="500"/>
    <n v="391"/>
    <n v="82"/>
    <n v="23"/>
    <n v="245.76"/>
    <n v="0.25"/>
    <n v="314"/>
    <n v="0.73"/>
    <n v="10"/>
    <n v="13.033333333333333"/>
    <n v="13.033333333333333"/>
    <n v="0.20971867007672634"/>
    <s v="Moderate"/>
    <n v="393.25818491164296"/>
    <n v="429.29151824497626"/>
    <n v="70.70848175502374"/>
    <s v=" Risk"/>
    <n v="4692"/>
    <n v="1153105.9199999999"/>
    <m/>
    <n v="2.5852657722250133E-3"/>
    <n v="0.56777678052901404"/>
    <s v="A"/>
    <s v="Y"/>
    <s v="AY"/>
    <s v="Frequent Monitoring"/>
    <s v="Every 2 Days"/>
    <s v="Frequent Monitoring"/>
    <s v="High"/>
    <n v="70"/>
    <x v="3"/>
  </r>
  <r>
    <s v="ITEM008"/>
    <s v="Flange"/>
    <s v="Finished Goods"/>
    <x v="2"/>
    <n v="179"/>
    <n v="206"/>
    <n v="81"/>
    <n v="11"/>
    <n v="464.53"/>
    <n v="0.23"/>
    <n v="161"/>
    <n v="0.89"/>
    <n v="6"/>
    <n v="6.8666666666666663"/>
    <n v="6.8666666666666663"/>
    <n v="0.39320388349514562"/>
    <s v="Moderate"/>
    <n v="268.64660801878739"/>
    <n v="286.51327468545406"/>
    <n v="-107.51327468545406"/>
    <s v=" Need to Order"/>
    <n v="2472"/>
    <n v="1148318.1599999999"/>
    <m/>
    <n v="2.5745316047570085E-3"/>
    <n v="0.57035131213377099"/>
    <s v="A"/>
    <s v="Y"/>
    <s v="AY"/>
    <s v="Frequent Monitoring"/>
    <s v="Every 2 Days"/>
    <s v="Frequent Monitoring"/>
    <s v="High"/>
    <n v="60"/>
    <x v="0"/>
  </r>
  <r>
    <s v="ITEM458"/>
    <s v="Tube"/>
    <s v="Finished Goods"/>
    <x v="0"/>
    <n v="926"/>
    <n v="228"/>
    <n v="14"/>
    <n v="9"/>
    <n v="419.44"/>
    <n v="0.17"/>
    <n v="190"/>
    <n v="0.99"/>
    <n v="10"/>
    <n v="7.6"/>
    <n v="7.6"/>
    <n v="6.1403508771929821E-2"/>
    <s v="Stable"/>
    <n v="42"/>
    <n v="58.6"/>
    <n v="867.4"/>
    <s v=" Safe"/>
    <n v="2736"/>
    <n v="1147587.8400000001"/>
    <m/>
    <n v="2.572894225860566E-3"/>
    <n v="0.57292420635963159"/>
    <s v="A"/>
    <s v="X"/>
    <s v="AX"/>
    <s v="Strict Control"/>
    <s v="Daily"/>
    <s v="Strict Replenishment"/>
    <s v="Low"/>
    <n v="60"/>
    <x v="0"/>
  </r>
  <r>
    <s v="ITEM426"/>
    <s v="Pipe A"/>
    <s v="Raw Material"/>
    <x v="2"/>
    <n v="128"/>
    <n v="231"/>
    <n v="49"/>
    <n v="9"/>
    <n v="412.85"/>
    <n v="0.23"/>
    <n v="878"/>
    <n v="0.84"/>
    <n v="5"/>
    <n v="7.7"/>
    <n v="7.7"/>
    <n v="0.21212121212121213"/>
    <s v="Moderate"/>
    <n v="147"/>
    <n v="163.69999999999999"/>
    <n v="-35.699999999999989"/>
    <s v=" Need to Order"/>
    <n v="2772"/>
    <n v="1144420.2"/>
    <m/>
    <n v="2.5657923706634898E-3"/>
    <n v="0.57548999873029505"/>
    <s v="A"/>
    <s v="Y"/>
    <s v="AY"/>
    <s v="Frequent Monitoring"/>
    <s v="Every 2 Days"/>
    <s v="Frequent Monitoring"/>
    <s v="High"/>
    <n v="60"/>
    <x v="0"/>
  </r>
  <r>
    <s v="ITEM080"/>
    <s v="Tube"/>
    <s v="Finished Goods"/>
    <x v="1"/>
    <n v="61"/>
    <n v="240"/>
    <n v="24"/>
    <n v="18"/>
    <n v="397.29"/>
    <n v="0.11"/>
    <n v="660"/>
    <n v="0.85"/>
    <n v="5"/>
    <n v="8"/>
    <n v="8"/>
    <n v="0.1"/>
    <s v="Stable"/>
    <n v="101.82337649086284"/>
    <n v="127.82337649086284"/>
    <n v="-66.823376490862842"/>
    <s v=" Need to Order"/>
    <n v="2880"/>
    <n v="1144195.2"/>
    <m/>
    <n v="2.5652879202147827E-3"/>
    <n v="0.57805528665050987"/>
    <s v="A"/>
    <s v="X"/>
    <s v="AX"/>
    <s v="Strict Control"/>
    <s v="Daily"/>
    <s v="Strict Replenishment"/>
    <s v="Low"/>
    <n v="50"/>
    <x v="2"/>
  </r>
  <r>
    <s v="ITEM385"/>
    <s v="Sheet"/>
    <s v="Finished Goods"/>
    <x v="2"/>
    <n v="560"/>
    <n v="430"/>
    <n v="53"/>
    <n v="22"/>
    <n v="221.56"/>
    <n v="0.19"/>
    <n v="651"/>
    <n v="0.86"/>
    <n v="5"/>
    <n v="14.333333333333334"/>
    <n v="14.333333333333334"/>
    <n v="0.12325581395348838"/>
    <s v="Stable"/>
    <n v="248.59203527064179"/>
    <n v="284.92536860397513"/>
    <n v="275.07463139602487"/>
    <s v=" Safe"/>
    <n v="5160"/>
    <n v="1143249.6000000001"/>
    <m/>
    <n v="2.5631678831290173E-3"/>
    <n v="0.58061845453363892"/>
    <s v="A"/>
    <s v="X"/>
    <s v="AX"/>
    <s v="Strict Control"/>
    <s v="Daily"/>
    <s v="Strict Replenishment"/>
    <s v="Low"/>
    <n v="50"/>
    <x v="2"/>
  </r>
  <r>
    <s v="ITEM288"/>
    <s v="Connector"/>
    <s v="Raw Material"/>
    <x v="4"/>
    <n v="911"/>
    <n v="441"/>
    <n v="35"/>
    <n v="29"/>
    <n v="215.57"/>
    <n v="0.15"/>
    <n v="717"/>
    <n v="0.85"/>
    <n v="1"/>
    <n v="14.7"/>
    <n v="14.7"/>
    <n v="7.9365079365079361E-2"/>
    <s v="Stable"/>
    <n v="188.48076824970764"/>
    <n v="232.18076824970763"/>
    <n v="678.81923175029237"/>
    <s v=" Safe"/>
    <n v="5292"/>
    <n v="1140796.44"/>
    <m/>
    <n v="2.5576678935167953E-3"/>
    <n v="0.58317612242715566"/>
    <s v="A"/>
    <s v="X"/>
    <s v="AX"/>
    <s v="Strict Control"/>
    <s v="Daily"/>
    <s v="Strict Replenishment"/>
    <s v="Low"/>
    <n v="40"/>
    <x v="1"/>
  </r>
  <r>
    <s v="ITEM149"/>
    <s v="Sheet"/>
    <s v="Finished Goods"/>
    <x v="4"/>
    <n v="962"/>
    <n v="244"/>
    <n v="88"/>
    <n v="7"/>
    <n v="389.34"/>
    <n v="0.18"/>
    <n v="542"/>
    <n v="0.89"/>
    <n v="4"/>
    <n v="8.1333333333333329"/>
    <n v="8.1333333333333329"/>
    <n v="0.36065573770491804"/>
    <s v="Moderate"/>
    <n v="232.82611537368399"/>
    <n v="247.95944870701732"/>
    <n v="714.04055129298263"/>
    <s v=" Safe"/>
    <n v="2928"/>
    <n v="1139987.52"/>
    <m/>
    <n v="2.5558542932636041E-3"/>
    <n v="0.58573197672041921"/>
    <s v="A"/>
    <s v="Y"/>
    <s v="AY"/>
    <s v="Frequent Monitoring"/>
    <s v="Every 2 Days"/>
    <s v="Frequent Monitoring"/>
    <s v="High"/>
    <n v="50"/>
    <x v="2"/>
  </r>
  <r>
    <s v="ITEM013"/>
    <s v="Pipe B"/>
    <s v="Finished Goods"/>
    <x v="0"/>
    <n v="508"/>
    <n v="373"/>
    <n v="42"/>
    <n v="27"/>
    <n v="254.47"/>
    <n v="0.17"/>
    <n v="411"/>
    <n v="0.99"/>
    <n v="4"/>
    <n v="12.433333333333334"/>
    <n v="12.433333333333334"/>
    <n v="0.1126005361930295"/>
    <s v="Stable"/>
    <n v="218.23840175367854"/>
    <n v="257.67173508701188"/>
    <n v="250.32826491298812"/>
    <s v=" Safe"/>
    <n v="4476"/>
    <n v="1139007.72"/>
    <m/>
    <n v="2.5536575797096349E-3"/>
    <n v="0.58828563430012881"/>
    <s v="A"/>
    <s v="X"/>
    <s v="AX"/>
    <s v="Strict Control"/>
    <s v="Daily"/>
    <s v="Strict Replenishment"/>
    <s v="Low"/>
    <n v="40"/>
    <x v="1"/>
  </r>
  <r>
    <s v="ITEM017"/>
    <s v="Connector"/>
    <s v="Finished Goods"/>
    <x v="2"/>
    <n v="810"/>
    <n v="234"/>
    <n v="56"/>
    <n v="9"/>
    <n v="405"/>
    <n v="0.1"/>
    <n v="453"/>
    <n v="0.9"/>
    <n v="9"/>
    <n v="7.8"/>
    <n v="7.8"/>
    <n v="0.23931623931623933"/>
    <s v="Moderate"/>
    <n v="168"/>
    <n v="184.8"/>
    <n v="625.20000000000005"/>
    <s v=" Safe"/>
    <n v="2808"/>
    <n v="1137240"/>
    <m/>
    <n v="2.5496943479443538E-3"/>
    <n v="0.5908353286480732"/>
    <s v="A"/>
    <s v="Y"/>
    <s v="AY"/>
    <s v="Frequent Monitoring"/>
    <s v="Every 2 Days"/>
    <s v="Frequent Monitoring"/>
    <s v="High"/>
    <n v="70"/>
    <x v="3"/>
  </r>
  <r>
    <s v="ITEM301"/>
    <s v="Connector"/>
    <s v="Raw Material"/>
    <x v="1"/>
    <n v="308"/>
    <n v="281"/>
    <n v="99"/>
    <n v="5"/>
    <n v="337.14"/>
    <n v="0.06"/>
    <n v="155"/>
    <n v="0.85"/>
    <n v="5"/>
    <n v="9.3666666666666671"/>
    <n v="9.3666666666666671"/>
    <n v="0.35231316725978645"/>
    <s v="Moderate"/>
    <n v="221.37072977247919"/>
    <n v="235.73739643914587"/>
    <n v="72.262603560854132"/>
    <s v=" Risk"/>
    <n v="3372"/>
    <n v="1136836.0799999998"/>
    <m/>
    <n v="2.5487887584988351E-3"/>
    <n v="0.59338411740657204"/>
    <s v="A"/>
    <s v="Y"/>
    <s v="AY"/>
    <s v="Frequent Monitoring"/>
    <s v="Every 2 Days"/>
    <s v="Frequent Monitoring"/>
    <s v="High"/>
    <n v="60"/>
    <x v="0"/>
  </r>
  <r>
    <s v="ITEM470"/>
    <s v="Flange"/>
    <s v="Raw Material"/>
    <x v="2"/>
    <n v="546"/>
    <n v="215"/>
    <n v="49"/>
    <n v="1"/>
    <n v="440.57"/>
    <n v="0.15"/>
    <n v="783"/>
    <n v="0.98"/>
    <n v="5"/>
    <n v="7.166666666666667"/>
    <n v="7.166666666666667"/>
    <n v="0.22790697674418606"/>
    <s v="Moderate"/>
    <n v="49"/>
    <n v="57.166666666666671"/>
    <n v="488.83333333333331"/>
    <s v=" Safe"/>
    <n v="2580"/>
    <n v="1136670.6000000001"/>
    <m/>
    <n v="2.5484177520088266E-3"/>
    <n v="0.59593253515858091"/>
    <s v="A"/>
    <s v="Y"/>
    <s v="AY"/>
    <s v="Frequent Monitoring"/>
    <s v="Every 2 Days"/>
    <s v="Frequent Monitoring"/>
    <s v="High"/>
    <n v="60"/>
    <x v="0"/>
  </r>
  <r>
    <s v="ITEM187"/>
    <s v="Rod"/>
    <s v="Raw Material"/>
    <x v="2"/>
    <n v="206"/>
    <n v="270"/>
    <n v="16"/>
    <n v="28"/>
    <n v="350.74"/>
    <n v="0.18"/>
    <n v="208"/>
    <n v="0.98"/>
    <n v="7"/>
    <n v="9"/>
    <n v="9"/>
    <n v="5.9259259259259262E-2"/>
    <s v="Stable"/>
    <n v="84.664041954066903"/>
    <n v="121.6640419540669"/>
    <n v="84.335958045933097"/>
    <s v=" Risk"/>
    <n v="3240"/>
    <n v="1136397.6000000001"/>
    <m/>
    <n v="2.5478056854643955E-3"/>
    <n v="0.59848034084404533"/>
    <s v="A"/>
    <s v="X"/>
    <s v="AX"/>
    <s v="Strict Control"/>
    <s v="Daily"/>
    <s v="Strict Replenishment"/>
    <s v="Low"/>
    <n v="50"/>
    <x v="2"/>
  </r>
  <r>
    <s v="ITEM144"/>
    <s v="Connector"/>
    <s v="Raw Material"/>
    <x v="4"/>
    <n v="983"/>
    <n v="486"/>
    <n v="50"/>
    <n v="17"/>
    <n v="194.27"/>
    <n v="0.1"/>
    <n v="526"/>
    <n v="0.9"/>
    <n v="5"/>
    <n v="16.2"/>
    <n v="16.2"/>
    <n v="0.102880658436214"/>
    <s v="Stable"/>
    <n v="206.15528128088303"/>
    <n v="239.35528128088305"/>
    <n v="743.64471871911701"/>
    <s v=" Safe"/>
    <n v="5832"/>
    <n v="1132982.6400000001"/>
    <m/>
    <n v="2.540149338334101E-3"/>
    <n v="0.60102049018237946"/>
    <s v="A"/>
    <s v="X"/>
    <s v="AX"/>
    <s v="Strict Control"/>
    <s v="Daily"/>
    <s v="Strict Replenishment"/>
    <s v="Low"/>
    <n v="50"/>
    <x v="2"/>
  </r>
  <r>
    <s v="ITEM171"/>
    <s v="Tube"/>
    <s v="Finished Goods"/>
    <x v="2"/>
    <n v="237"/>
    <n v="326"/>
    <n v="75"/>
    <n v="30"/>
    <n v="289.01"/>
    <n v="0.1"/>
    <n v="169"/>
    <n v="0.95"/>
    <n v="3"/>
    <n v="10.866666666666667"/>
    <n v="10.866666666666667"/>
    <n v="0.23006134969325154"/>
    <s v="Moderate"/>
    <n v="410.79191812887461"/>
    <n v="451.65858479554129"/>
    <n v="-214.65858479554129"/>
    <s v=" Need to Order"/>
    <n v="3912"/>
    <n v="1130607.1199999999"/>
    <m/>
    <n v="2.5348234177567123E-3"/>
    <n v="0.60355531360013615"/>
    <s v="A"/>
    <s v="Y"/>
    <s v="AY"/>
    <s v="Frequent Monitoring"/>
    <s v="Every 2 Days"/>
    <s v="Frequent Monitoring"/>
    <s v="High"/>
    <n v="50"/>
    <x v="2"/>
  </r>
  <r>
    <s v="ITEM200"/>
    <s v="Pipe B"/>
    <s v="Finished Goods"/>
    <x v="3"/>
    <n v="114"/>
    <n v="451"/>
    <n v="97"/>
    <n v="1"/>
    <n v="207.2"/>
    <n v="0.16"/>
    <n v="917"/>
    <n v="0.98"/>
    <n v="6"/>
    <n v="15.033333333333333"/>
    <n v="15.033333333333333"/>
    <n v="0.21507760532150777"/>
    <s v="Moderate"/>
    <n v="97"/>
    <n v="113.03333333333333"/>
    <n v="0.96666666666666856"/>
    <s v=" Risk"/>
    <n v="5412"/>
    <n v="1121366.3999999999"/>
    <m/>
    <n v="2.5141057050883783E-3"/>
    <n v="0.60606941930522451"/>
    <s v="A"/>
    <s v="Y"/>
    <s v="AY"/>
    <s v="Frequent Monitoring"/>
    <s v="Every 2 Days"/>
    <s v="Frequent Monitoring"/>
    <s v="High"/>
    <n v="60"/>
    <x v="0"/>
  </r>
  <r>
    <s v="ITEM314"/>
    <s v="Pipe B"/>
    <s v="Raw Material"/>
    <x v="1"/>
    <n v="507"/>
    <n v="300"/>
    <n v="23"/>
    <n v="24"/>
    <n v="307.2"/>
    <n v="0.18"/>
    <n v="978"/>
    <n v="0.88"/>
    <n v="7"/>
    <n v="10"/>
    <n v="10"/>
    <n v="7.6666666666666661E-2"/>
    <s v="Stable"/>
    <n v="112.67652816802618"/>
    <n v="146.67652816802618"/>
    <n v="360.32347183197385"/>
    <s v=" Safe"/>
    <n v="3600"/>
    <n v="1105920"/>
    <m/>
    <n v="2.4794748454843481E-3"/>
    <n v="0.6085488941507089"/>
    <s v="A"/>
    <s v="X"/>
    <s v="AX"/>
    <s v="Strict Control"/>
    <s v="Daily"/>
    <s v="Strict Replenishment"/>
    <s v="Low"/>
    <n v="50"/>
    <x v="2"/>
  </r>
  <r>
    <s v="ITEM027"/>
    <s v="Sheet"/>
    <s v="Finished Goods"/>
    <x v="0"/>
    <n v="301"/>
    <n v="292"/>
    <n v="41"/>
    <n v="13"/>
    <n v="315.33999999999997"/>
    <n v="0.2"/>
    <n v="419"/>
    <n v="0.73"/>
    <n v="7"/>
    <n v="9.7333333333333325"/>
    <n v="9.7333333333333325"/>
    <n v="0.1404109589041096"/>
    <s v="Stable"/>
    <n v="147.82760229402356"/>
    <n v="170.56093562735691"/>
    <n v="130.43906437264309"/>
    <s v=" Risk"/>
    <n v="3504"/>
    <n v="1104951.3599999999"/>
    <m/>
    <n v="2.4773031526726342E-3"/>
    <n v="0.61102619730338148"/>
    <s v="A"/>
    <s v="X"/>
    <s v="AX"/>
    <s v="Strict Control"/>
    <s v="Daily"/>
    <s v="Strict Replenishment"/>
    <s v="Low"/>
    <n v="50"/>
    <x v="2"/>
  </r>
  <r>
    <s v="ITEM330"/>
    <s v="Tube"/>
    <s v="Raw Material"/>
    <x v="2"/>
    <n v="163"/>
    <n v="300"/>
    <n v="48"/>
    <n v="22"/>
    <n v="306"/>
    <n v="0.15"/>
    <n v="624"/>
    <n v="0.89"/>
    <n v="10"/>
    <n v="10"/>
    <n v="10"/>
    <n v="0.16"/>
    <s v="Stable"/>
    <n v="225.13995647152461"/>
    <n v="257.13995647152461"/>
    <n v="-94.139956471524613"/>
    <s v=" Need to Order"/>
    <n v="3600"/>
    <n v="1101600"/>
    <m/>
    <n v="2.4697893968691747E-3"/>
    <n v="0.61349598670025063"/>
    <s v="A"/>
    <s v="X"/>
    <s v="AX"/>
    <s v="Strict Control"/>
    <s v="Daily"/>
    <s v="Strict Replenishment"/>
    <s v="Low"/>
    <n v="60"/>
    <x v="0"/>
  </r>
  <r>
    <s v="ITEM351"/>
    <s v="Connector"/>
    <s v="Finished Goods"/>
    <x v="2"/>
    <n v="158"/>
    <n v="225"/>
    <n v="16"/>
    <n v="17"/>
    <n v="406.49"/>
    <n v="0.23"/>
    <n v="648"/>
    <n v="0.83"/>
    <n v="8"/>
    <n v="7.5"/>
    <n v="7.5"/>
    <n v="7.1111111111111111E-2"/>
    <s v="Stable"/>
    <n v="65.969690009882569"/>
    <n v="90.469690009882569"/>
    <n v="67.530309990117431"/>
    <s v=" Safe"/>
    <n v="2700"/>
    <n v="1097523"/>
    <m/>
    <n v="2.4606487547386051E-3"/>
    <n v="0.61595663545498924"/>
    <s v="A"/>
    <s v="X"/>
    <s v="AX"/>
    <s v="Strict Control"/>
    <s v="Daily"/>
    <s v="Strict Replenishment"/>
    <s v="Low"/>
    <n v="60"/>
    <x v="0"/>
  </r>
  <r>
    <s v="ITEM028"/>
    <s v="Rod"/>
    <s v="Finished Goods"/>
    <x v="1"/>
    <n v="245"/>
    <n v="376"/>
    <n v="55"/>
    <n v="29"/>
    <n v="240.17"/>
    <n v="0.16"/>
    <n v="963"/>
    <n v="0.84"/>
    <n v="4"/>
    <n v="12.533333333333333"/>
    <n v="12.533333333333333"/>
    <n v="0.14627659574468085"/>
    <s v="Stable"/>
    <n v="296.18406439239772"/>
    <n v="337.71739772573108"/>
    <n v="-92.717397725731075"/>
    <s v=" Need to Order"/>
    <n v="4512"/>
    <n v="1083647.04"/>
    <m/>
    <n v="2.4295388247464293E-3"/>
    <n v="0.61838617427973563"/>
    <s v="A"/>
    <s v="X"/>
    <s v="AX"/>
    <s v="Strict Control"/>
    <s v="Daily"/>
    <s v="Strict Replenishment"/>
    <s v="Low"/>
    <n v="40"/>
    <x v="1"/>
  </r>
  <r>
    <s v="ITEM004"/>
    <s v="Rod"/>
    <s v="Raw Material"/>
    <x v="2"/>
    <n v="333"/>
    <n v="360"/>
    <n v="80"/>
    <n v="11"/>
    <n v="248.63"/>
    <n v="0.09"/>
    <n v="785"/>
    <n v="0.98"/>
    <n v="7"/>
    <n v="12"/>
    <n v="12"/>
    <n v="0.22222222222222221"/>
    <s v="Moderate"/>
    <n v="265.32998322843196"/>
    <n v="288.32998322843196"/>
    <n v="44.670016771568044"/>
    <s v=" Risk"/>
    <n v="4320"/>
    <n v="1074081.6000000001"/>
    <m/>
    <n v="2.4080930891905213E-3"/>
    <n v="0.62079426736892618"/>
    <s v="A"/>
    <s v="Y"/>
    <s v="AY"/>
    <s v="Frequent Monitoring"/>
    <s v="Every 2 Days"/>
    <s v="Frequent Monitoring"/>
    <s v="High"/>
    <n v="60"/>
    <x v="0"/>
  </r>
  <r>
    <s v="ITEM449"/>
    <s v="Flange"/>
    <s v="Finished Goods"/>
    <x v="0"/>
    <n v="779"/>
    <n v="374"/>
    <n v="45"/>
    <n v="1"/>
    <n v="236.42"/>
    <n v="0.19"/>
    <n v="340"/>
    <n v="0.94"/>
    <n v="10"/>
    <n v="12.466666666666667"/>
    <n v="12.466666666666667"/>
    <n v="0.12032085561497326"/>
    <s v="Stable"/>
    <n v="45"/>
    <n v="58.466666666666669"/>
    <n v="720.5333333333333"/>
    <s v=" Safe"/>
    <n v="4488"/>
    <n v="1061052.96"/>
    <m/>
    <n v="2.3788828523281158E-3"/>
    <n v="0.6231731502212543"/>
    <s v="A"/>
    <s v="X"/>
    <s v="AX"/>
    <s v="Strict Control"/>
    <s v="Daily"/>
    <s v="Strict Replenishment"/>
    <s v="Low"/>
    <n v="60"/>
    <x v="0"/>
  </r>
  <r>
    <s v="ITEM181"/>
    <s v="Sheet"/>
    <s v="Raw Material"/>
    <x v="1"/>
    <n v="897"/>
    <n v="216"/>
    <n v="77"/>
    <n v="18"/>
    <n v="406.98"/>
    <n v="7.0000000000000007E-2"/>
    <n v="163"/>
    <n v="0.83"/>
    <n v="5"/>
    <n v="7.2"/>
    <n v="7.2"/>
    <n v="0.35648148148148145"/>
    <s v="Moderate"/>
    <n v="326.68333290818492"/>
    <n v="351.88333290818491"/>
    <n v="545.11666709181509"/>
    <s v=" Safe"/>
    <n v="2592"/>
    <n v="1054892.1600000001"/>
    <m/>
    <n v="2.365070326441922E-3"/>
    <n v="0.62553822054769626"/>
    <s v="A"/>
    <s v="Y"/>
    <s v="AY"/>
    <s v="Frequent Monitoring"/>
    <s v="Every 2 Days"/>
    <s v="Frequent Monitoring"/>
    <s v="High"/>
    <n v="60"/>
    <x v="0"/>
  </r>
  <r>
    <s v="ITEM068"/>
    <s v="Sheet"/>
    <s v="Raw Material"/>
    <x v="4"/>
    <n v="525"/>
    <n v="204"/>
    <n v="90"/>
    <n v="22"/>
    <n v="429.08"/>
    <n v="0.24"/>
    <n v="110"/>
    <n v="0.71"/>
    <n v="4"/>
    <n v="6.8"/>
    <n v="6.8"/>
    <n v="0.44117647058823528"/>
    <s v="Moderate"/>
    <n v="422.13741838410868"/>
    <n v="450.9374183841087"/>
    <n v="74.062581615891304"/>
    <s v=" Risk"/>
    <n v="2448"/>
    <n v="1050387.8399999999"/>
    <m/>
    <n v="2.3549716320191674E-3"/>
    <n v="0.6278931921797154"/>
    <s v="A"/>
    <s v="Y"/>
    <s v="AY"/>
    <s v="Frequent Monitoring"/>
    <s v="Every 2 Days"/>
    <s v="Frequent Monitoring"/>
    <s v="High"/>
    <n v="50"/>
    <x v="2"/>
  </r>
  <r>
    <s v="ITEM124"/>
    <s v="Tube"/>
    <s v="Finished Goods"/>
    <x v="3"/>
    <n v="658"/>
    <n v="400"/>
    <n v="80"/>
    <n v="14"/>
    <n v="215.23"/>
    <n v="0.24"/>
    <n v="628"/>
    <n v="0.79"/>
    <n v="5"/>
    <n v="13.333333333333334"/>
    <n v="13.333333333333334"/>
    <n v="0.2"/>
    <s v="Moderate"/>
    <n v="299.33259094191533"/>
    <n v="326.66592427524864"/>
    <n v="331.33407572475136"/>
    <s v=" Safe"/>
    <n v="4800"/>
    <n v="1033104"/>
    <m/>
    <n v="2.316221228270817E-3"/>
    <n v="0.6302094134079862"/>
    <s v="A"/>
    <s v="X"/>
    <s v="AX"/>
    <s v="Strict Control"/>
    <s v="Daily"/>
    <s v="Strict Replenishment"/>
    <s v="Low"/>
    <n v="50"/>
    <x v="2"/>
  </r>
  <r>
    <s v="ITEM296"/>
    <s v="Tube"/>
    <s v="Raw Material"/>
    <x v="0"/>
    <n v="582"/>
    <n v="281"/>
    <n v="45"/>
    <n v="5"/>
    <n v="304.54000000000002"/>
    <n v="0.1"/>
    <n v="261"/>
    <n v="0.76"/>
    <n v="4"/>
    <n v="9.3666666666666671"/>
    <n v="9.3666666666666671"/>
    <n v="0.16014234875444841"/>
    <s v="Stable"/>
    <n v="100.62305898749054"/>
    <n v="114.98972565415721"/>
    <n v="467.01027434584279"/>
    <s v=" Safe"/>
    <n v="3372"/>
    <n v="1026908.8800000001"/>
    <m/>
    <n v="2.3023317568761801E-3"/>
    <n v="0.63251174516486242"/>
    <s v="A"/>
    <s v="X"/>
    <s v="AX"/>
    <s v="Strict Control"/>
    <s v="Daily"/>
    <s v="Strict Replenishment"/>
    <s v="Low"/>
    <n v="40"/>
    <x v="1"/>
  </r>
  <r>
    <s v="ITEM073"/>
    <s v="Tube"/>
    <s v="Raw Material"/>
    <x v="4"/>
    <n v="188"/>
    <n v="469"/>
    <n v="28"/>
    <n v="28"/>
    <n v="182.36"/>
    <n v="0.05"/>
    <n v="387"/>
    <n v="0.92"/>
    <n v="6"/>
    <n v="15.633333333333333"/>
    <n v="15.633333333333333"/>
    <n v="5.9701492537313432E-2"/>
    <s v="Stable"/>
    <n v="148.16207341961709"/>
    <n v="191.79540675295041"/>
    <n v="-3.795406752950413"/>
    <s v=" Need to Order"/>
    <n v="5628"/>
    <n v="1026322.0800000001"/>
    <m/>
    <n v="2.3010161501059523E-3"/>
    <n v="0.63481276131496833"/>
    <s v="A"/>
    <s v="X"/>
    <s v="AX"/>
    <s v="Strict Control"/>
    <s v="Daily"/>
    <s v="Strict Replenishment"/>
    <s v="Low"/>
    <n v="50"/>
    <x v="2"/>
  </r>
  <r>
    <s v="ITEM030"/>
    <s v="Flange"/>
    <s v="Raw Material"/>
    <x v="2"/>
    <n v="31"/>
    <n v="185"/>
    <n v="77"/>
    <n v="23"/>
    <n v="461.36"/>
    <n v="0.11"/>
    <n v="500"/>
    <n v="0.88"/>
    <n v="5"/>
    <n v="6.166666666666667"/>
    <n v="6.166666666666667"/>
    <n v="0.41621621621621624"/>
    <s v="Moderate"/>
    <n v="369.27902729507935"/>
    <n v="398.44569396174603"/>
    <n v="-367.44569396174603"/>
    <s v=" Need to Order"/>
    <n v="2220"/>
    <n v="1024219.2000000001"/>
    <m/>
    <n v="2.2963014889522777E-3"/>
    <n v="0.63710906280392066"/>
    <s v="A"/>
    <s v="Y"/>
    <s v="AY"/>
    <s v="Frequent Monitoring"/>
    <s v="Every 2 Days"/>
    <s v="Frequent Monitoring"/>
    <s v="High"/>
    <n v="60"/>
    <x v="0"/>
  </r>
  <r>
    <s v="ITEM148"/>
    <s v="Tube"/>
    <s v="Raw Material"/>
    <x v="1"/>
    <n v="931"/>
    <n v="485"/>
    <n v="77"/>
    <n v="28"/>
    <n v="174.76"/>
    <n v="0.21"/>
    <n v="117"/>
    <n v="0.84"/>
    <n v="2"/>
    <n v="16.166666666666668"/>
    <n v="16.166666666666668"/>
    <n v="0.15876288659793814"/>
    <s v="Stable"/>
    <n v="407.445701903947"/>
    <n v="451.61236857061368"/>
    <n v="479.38763142938632"/>
    <s v=" Safe"/>
    <n v="5820"/>
    <n v="1017103.2"/>
    <m/>
    <n v="2.2803474027611723E-3"/>
    <n v="0.63938941020668183"/>
    <s v="A"/>
    <s v="X"/>
    <s v="AX"/>
    <s v="Strict Control"/>
    <s v="Daily"/>
    <s v="Strict Replenishment"/>
    <s v="Low"/>
    <n v="40"/>
    <x v="1"/>
  </r>
  <r>
    <s v="ITEM064"/>
    <s v="Sheet"/>
    <s v="Finished Goods"/>
    <x v="0"/>
    <n v="562"/>
    <n v="411"/>
    <n v="81"/>
    <n v="21"/>
    <n v="205.68"/>
    <n v="0.21"/>
    <n v="584"/>
    <n v="0.89"/>
    <n v="3"/>
    <n v="13.7"/>
    <n v="13.7"/>
    <n v="0.19708029197080293"/>
    <s v="Stable"/>
    <n v="371.18863129142301"/>
    <n v="405.888631291423"/>
    <n v="156.111368708577"/>
    <s v=" Risk"/>
    <n v="4932"/>
    <n v="1014413.76"/>
    <m/>
    <n v="2.2743176729177485E-3"/>
    <n v="0.64166372787959958"/>
    <s v="A"/>
    <s v="X"/>
    <s v="AX"/>
    <s v="Strict Control"/>
    <s v="Daily"/>
    <s v="Strict Replenishment"/>
    <s v="Low"/>
    <n v="40"/>
    <x v="1"/>
  </r>
  <r>
    <s v="ITEM469"/>
    <s v="Flange"/>
    <s v="Finished Goods"/>
    <x v="1"/>
    <n v="736"/>
    <n v="490"/>
    <n v="100"/>
    <n v="17"/>
    <n v="171.99"/>
    <n v="0.19"/>
    <n v="995"/>
    <n v="0.74"/>
    <n v="6"/>
    <n v="16.333333333333332"/>
    <n v="16.333333333333332"/>
    <n v="0.20408163265306123"/>
    <s v="Moderate"/>
    <n v="412.31056256176606"/>
    <n v="445.64389589509938"/>
    <n v="290.35610410490062"/>
    <s v=" Risk"/>
    <n v="5880"/>
    <n v="1011301.2000000001"/>
    <m/>
    <n v="2.2673393071905162E-3"/>
    <n v="0.64393106718679005"/>
    <s v="A"/>
    <s v="Y"/>
    <s v="AY"/>
    <s v="Frequent Monitoring"/>
    <s v="Every 2 Days"/>
    <s v="Frequent Monitoring"/>
    <s v="High"/>
    <n v="60"/>
    <x v="0"/>
  </r>
  <r>
    <s v="ITEM100"/>
    <s v="Tube"/>
    <s v="Raw Material"/>
    <x v="0"/>
    <n v="767"/>
    <n v="321"/>
    <n v="12"/>
    <n v="7"/>
    <n v="262.39"/>
    <n v="0.14000000000000001"/>
    <n v="164"/>
    <n v="0.94"/>
    <n v="3"/>
    <n v="10.7"/>
    <n v="10.7"/>
    <n v="3.7383177570093455E-2"/>
    <s v="Stable"/>
    <n v="31.749015732775089"/>
    <n v="49.449015732775088"/>
    <n v="717.55098426722486"/>
    <s v=" Safe"/>
    <n v="3852"/>
    <n v="1010726.2799999999"/>
    <m/>
    <n v="2.2660503354039801E-3"/>
    <n v="0.646197117522194"/>
    <s v="A"/>
    <s v="X"/>
    <s v="AX"/>
    <s v="Strict Control"/>
    <s v="Daily"/>
    <s v="Strict Replenishment"/>
    <s v="Low"/>
    <n v="40"/>
    <x v="1"/>
  </r>
  <r>
    <s v="ITEM474"/>
    <s v="Pipe A"/>
    <s v="Raw Material"/>
    <x v="2"/>
    <n v="827"/>
    <n v="297"/>
    <n v="11"/>
    <n v="15"/>
    <n v="282.77"/>
    <n v="0.11"/>
    <n v="204"/>
    <n v="0.96"/>
    <n v="10"/>
    <n v="9.9"/>
    <n v="9.9"/>
    <n v="3.7037037037037035E-2"/>
    <s v="Stable"/>
    <n v="42.602816808281588"/>
    <n v="67.50281680828158"/>
    <n v="759.49718319171848"/>
    <s v=" Safe"/>
    <n v="3564"/>
    <n v="1007792.2799999999"/>
    <m/>
    <n v="2.2594723015528415E-3"/>
    <n v="0.64845658982374688"/>
    <s v="A"/>
    <s v="X"/>
    <s v="AX"/>
    <s v="Strict Control"/>
    <s v="Daily"/>
    <s v="Strict Replenishment"/>
    <s v="Low"/>
    <n v="60"/>
    <x v="0"/>
  </r>
  <r>
    <s v="ITEM432"/>
    <s v="Sheet"/>
    <s v="Raw Material"/>
    <x v="4"/>
    <n v="15"/>
    <n v="179"/>
    <n v="80"/>
    <n v="1"/>
    <n v="468.86"/>
    <n v="0.23"/>
    <n v="737"/>
    <n v="0.83"/>
    <n v="2"/>
    <n v="5.9666666666666668"/>
    <n v="5.9666666666666668"/>
    <n v="0.44692737430167595"/>
    <s v="Moderate"/>
    <n v="80"/>
    <n v="86.966666666666669"/>
    <n v="-71.966666666666669"/>
    <s v=" Need to Order"/>
    <n v="2148"/>
    <n v="1007111.28"/>
    <m/>
    <n v="2.2579454981947553E-3"/>
    <n v="0.65071453532194168"/>
    <s v="A"/>
    <s v="Y"/>
    <s v="AY"/>
    <s v="Frequent Monitoring"/>
    <s v="Every 2 Days"/>
    <s v="Frequent Monitoring"/>
    <s v="High"/>
    <n v="50"/>
    <x v="2"/>
  </r>
  <r>
    <s v="ITEM389"/>
    <s v="Rod"/>
    <s v="Finished Goods"/>
    <x v="2"/>
    <n v="918"/>
    <n v="209"/>
    <n v="67"/>
    <n v="26"/>
    <n v="400.83"/>
    <n v="0.08"/>
    <n v="501"/>
    <n v="0.86"/>
    <n v="10"/>
    <n v="6.9666666666666668"/>
    <n v="6.9666666666666668"/>
    <n v="0.32057416267942584"/>
    <s v="Moderate"/>
    <n v="341.63430741071659"/>
    <n v="374.60097407738328"/>
    <n v="543.39902592261672"/>
    <s v=" Safe"/>
    <n v="2508"/>
    <n v="1005281.64"/>
    <m/>
    <n v="2.2538434416659904E-3"/>
    <n v="0.65296837876360769"/>
    <s v="A"/>
    <s v="Y"/>
    <s v="AY"/>
    <s v="Frequent Monitoring"/>
    <s v="Every 2 Days"/>
    <s v="Frequent Monitoring"/>
    <s v="High"/>
    <n v="70"/>
    <x v="3"/>
  </r>
  <r>
    <s v="ITEM416"/>
    <s v="Flange"/>
    <s v="Raw Material"/>
    <x v="3"/>
    <n v="176"/>
    <n v="314"/>
    <n v="34"/>
    <n v="25"/>
    <n v="264.92"/>
    <n v="0.17"/>
    <n v="959"/>
    <n v="0.81"/>
    <n v="10"/>
    <n v="10.466666666666667"/>
    <n v="10.466666666666667"/>
    <n v="0.10828025477707007"/>
    <s v="Stable"/>
    <n v="170"/>
    <n v="205.46666666666667"/>
    <n v="-29.466666666666669"/>
    <s v=" Need to Order"/>
    <n v="3768"/>
    <n v="998218.56"/>
    <m/>
    <n v="2.2380080022204214E-3"/>
    <n v="0.6552063867658281"/>
    <s v="A"/>
    <s v="X"/>
    <s v="AX"/>
    <s v="Strict Control"/>
    <s v="Daily"/>
    <s v="Strict Replenishment"/>
    <s v="Low"/>
    <n v="60"/>
    <x v="0"/>
  </r>
  <r>
    <s v="ITEM354"/>
    <s v="Connector"/>
    <s v="Finished Goods"/>
    <x v="2"/>
    <n v="151"/>
    <n v="172"/>
    <n v="30"/>
    <n v="8"/>
    <n v="482.84"/>
    <n v="0.21"/>
    <n v="901"/>
    <n v="0.95"/>
    <n v="8"/>
    <n v="5.7333333333333334"/>
    <n v="5.7333333333333334"/>
    <n v="0.1744186046511628"/>
    <s v="Stable"/>
    <n v="84.852813742385706"/>
    <n v="98.58614707571904"/>
    <n v="52.41385292428096"/>
    <s v=" Risk"/>
    <n v="2064"/>
    <n v="996581.75999999989"/>
    <m/>
    <n v="2.2343382933562275E-3"/>
    <n v="0.65744072505918427"/>
    <s v="A"/>
    <s v="X"/>
    <s v="AX"/>
    <s v="Strict Control"/>
    <s v="Daily"/>
    <s v="Strict Replenishment"/>
    <s v="Low"/>
    <n v="60"/>
    <x v="0"/>
  </r>
  <r>
    <s v="ITEM205"/>
    <s v="Rod"/>
    <s v="Finished Goods"/>
    <x v="1"/>
    <n v="428"/>
    <n v="495"/>
    <n v="86"/>
    <n v="29"/>
    <n v="167.17"/>
    <n v="0.12"/>
    <n v="120"/>
    <n v="0.93"/>
    <n v="2"/>
    <n v="16.5"/>
    <n v="16.5"/>
    <n v="0.17373737373737375"/>
    <s v="Stable"/>
    <n v="463.12417341356735"/>
    <n v="508.62417341356735"/>
    <n v="-80.624173413567348"/>
    <s v=" Need to Order"/>
    <n v="5940"/>
    <n v="992989.79999999993"/>
    <m/>
    <n v="2.2262851118729507E-3"/>
    <n v="0.65966701017105722"/>
    <s v="A"/>
    <s v="X"/>
    <s v="AX"/>
    <s v="Strict Control"/>
    <s v="Daily"/>
    <s v="Strict Replenishment"/>
    <s v="Low"/>
    <n v="40"/>
    <x v="1"/>
  </r>
  <r>
    <s v="ITEM478"/>
    <s v="Flange"/>
    <s v="Raw Material"/>
    <x v="0"/>
    <n v="674"/>
    <n v="224"/>
    <n v="81"/>
    <n v="19"/>
    <n v="369.02"/>
    <n v="0.25"/>
    <n v="178"/>
    <n v="0.86"/>
    <n v="8"/>
    <n v="7.4666666666666668"/>
    <n v="7.4666666666666668"/>
    <n v="0.36160714285714285"/>
    <s v="Moderate"/>
    <n v="353.07081442679458"/>
    <n v="379.53748109346122"/>
    <n v="294.46251890653878"/>
    <s v=" Risk"/>
    <n v="2688"/>
    <n v="991925.76000000001"/>
    <m/>
    <n v="2.2238995320709859E-3"/>
    <n v="0.66189090970312825"/>
    <s v="A"/>
    <s v="Y"/>
    <s v="AY"/>
    <s v="Frequent Monitoring"/>
    <s v="Every 2 Days"/>
    <s v="Frequent Monitoring"/>
    <s v="High"/>
    <n v="70"/>
    <x v="3"/>
  </r>
  <r>
    <s v="ITEM352"/>
    <s v="Sheet"/>
    <s v="Raw Material"/>
    <x v="3"/>
    <n v="464"/>
    <n v="243"/>
    <n v="23"/>
    <n v="7"/>
    <n v="339.93"/>
    <n v="0.24"/>
    <n v="970"/>
    <n v="0.91"/>
    <n v="5"/>
    <n v="8.1"/>
    <n v="8.1"/>
    <n v="9.4650205761316872E-2"/>
    <s v="Stable"/>
    <n v="60.852280154485584"/>
    <n v="75.952280154485578"/>
    <n v="388.04771984551439"/>
    <s v=" Safe"/>
    <n v="2916"/>
    <n v="991235.88"/>
    <m/>
    <n v="2.2223528197351902E-3"/>
    <n v="0.6641132625228634"/>
    <s v="A"/>
    <s v="X"/>
    <s v="AX"/>
    <s v="Strict Control"/>
    <s v="Daily"/>
    <s v="Strict Replenishment"/>
    <s v="Low"/>
    <n v="50"/>
    <x v="2"/>
  </r>
  <r>
    <s v="ITEM182"/>
    <s v="Sheet"/>
    <s v="Finished Goods"/>
    <x v="4"/>
    <n v="661"/>
    <n v="280"/>
    <n v="30"/>
    <n v="15"/>
    <n v="294.16000000000003"/>
    <n v="0.11"/>
    <n v="768"/>
    <n v="0.85"/>
    <n v="10"/>
    <n v="9.3333333333333339"/>
    <n v="9.3333333333333339"/>
    <n v="0.10714285714285714"/>
    <s v="Stable"/>
    <n v="116.18950038622251"/>
    <n v="140.52283371955585"/>
    <n v="520.47716628044418"/>
    <s v=" Safe"/>
    <n v="3360"/>
    <n v="988377.60000000009"/>
    <m/>
    <n v="2.2159445502750569E-3"/>
    <n v="0.66632920707313847"/>
    <s v="A"/>
    <s v="X"/>
    <s v="AX"/>
    <s v="Strict Control"/>
    <s v="Daily"/>
    <s v="Strict Replenishment"/>
    <s v="Low"/>
    <n v="60"/>
    <x v="0"/>
  </r>
  <r>
    <s v="ITEM095"/>
    <s v="Sheet"/>
    <s v="Raw Material"/>
    <x v="0"/>
    <n v="332"/>
    <n v="389"/>
    <n v="50"/>
    <n v="7"/>
    <n v="210.09"/>
    <n v="0.09"/>
    <n v="607"/>
    <n v="0.96"/>
    <n v="8"/>
    <n v="12.966666666666667"/>
    <n v="12.966666666666667"/>
    <n v="0.12853470437017994"/>
    <s v="Stable"/>
    <n v="132.28756555322954"/>
    <n v="152.25423221989621"/>
    <n v="179.74576778010379"/>
    <s v=" Safe"/>
    <n v="4668"/>
    <n v="980700.12"/>
    <m/>
    <n v="2.1987316248042186E-3"/>
    <n v="0.66852793869794269"/>
    <s v="A"/>
    <s v="X"/>
    <s v="AX"/>
    <s v="Strict Control"/>
    <s v="Daily"/>
    <s v="Strict Replenishment"/>
    <s v="Low"/>
    <n v="60"/>
    <x v="0"/>
  </r>
  <r>
    <s v="ITEM210"/>
    <s v="Flange"/>
    <s v="Raw Material"/>
    <x v="0"/>
    <n v="43"/>
    <n v="237"/>
    <n v="94"/>
    <n v="10"/>
    <n v="344.35"/>
    <n v="7.0000000000000007E-2"/>
    <n v="894"/>
    <n v="0.96"/>
    <n v="1"/>
    <n v="7.9"/>
    <n v="7.9"/>
    <n v="0.39662447257383965"/>
    <s v="Moderate"/>
    <n v="297.25410005582768"/>
    <n v="315.15410005582766"/>
    <n v="-272.15410005582766"/>
    <s v=" Need to Order"/>
    <n v="2844"/>
    <n v="979331.4"/>
    <m/>
    <n v="2.1956629518346447E-3"/>
    <n v="0.67072360164977729"/>
    <s v="A"/>
    <s v="Y"/>
    <s v="AY"/>
    <s v="Frequent Monitoring"/>
    <s v="Every 2 Days"/>
    <s v="Frequent Monitoring"/>
    <s v="High"/>
    <n v="50"/>
    <x v="2"/>
  </r>
  <r>
    <s v="ITEM260"/>
    <s v="Pipe A"/>
    <s v="Finished Goods"/>
    <x v="3"/>
    <n v="641"/>
    <n v="184"/>
    <n v="56"/>
    <n v="19"/>
    <n v="442.98"/>
    <n v="0.21"/>
    <n v="999"/>
    <n v="0.86"/>
    <n v="1"/>
    <n v="6.1333333333333337"/>
    <n v="6.1333333333333337"/>
    <n v="0.30434782608695654"/>
    <s v="Moderate"/>
    <n v="244.09834083827775"/>
    <n v="269.23167417161108"/>
    <n v="371.76832582838892"/>
    <s v=" Safe"/>
    <n v="2208"/>
    <n v="978099.84000000008"/>
    <m/>
    <n v="2.1929017918586027E-3"/>
    <n v="0.67291650344163589"/>
    <s v="A"/>
    <s v="Y"/>
    <s v="AY"/>
    <s v="Frequent Monitoring"/>
    <s v="Every 2 Days"/>
    <s v="Frequent Monitoring"/>
    <s v="High"/>
    <n v="50"/>
    <x v="2"/>
  </r>
  <r>
    <s v="ITEM292"/>
    <s v="Tube"/>
    <s v="Finished Goods"/>
    <x v="2"/>
    <n v="82"/>
    <n v="485"/>
    <n v="100"/>
    <n v="4"/>
    <n v="167.46"/>
    <n v="0.22"/>
    <n v="615"/>
    <n v="0.93"/>
    <n v="3"/>
    <n v="16.166666666666668"/>
    <n v="16.166666666666668"/>
    <n v="0.20618556701030927"/>
    <s v="Moderate"/>
    <n v="200"/>
    <n v="220.16666666666666"/>
    <n v="-138.16666666666666"/>
    <s v=" Need to Order"/>
    <n v="5820"/>
    <n v="974617.20000000007"/>
    <m/>
    <n v="2.1850937060333372E-3"/>
    <n v="0.67510159714766926"/>
    <s v="A"/>
    <s v="Y"/>
    <s v="AY"/>
    <s v="Frequent Monitoring"/>
    <s v="Every 2 Days"/>
    <s v="Frequent Monitoring"/>
    <s v="High"/>
    <n v="50"/>
    <x v="2"/>
  </r>
  <r>
    <s v="ITEM219"/>
    <s v="Valve"/>
    <s v="Raw Material"/>
    <x v="2"/>
    <n v="760"/>
    <n v="327"/>
    <n v="70"/>
    <n v="15"/>
    <n v="248.21"/>
    <n v="0.05"/>
    <n v="734"/>
    <n v="0.91"/>
    <n v="5"/>
    <n v="10.9"/>
    <n v="10.9"/>
    <n v="0.21406727828746178"/>
    <s v="Moderate"/>
    <n v="271.10883423451918"/>
    <n v="297.00883423451916"/>
    <n v="462.99116576548084"/>
    <s v=" Safe"/>
    <n v="3924"/>
    <n v="973976.04"/>
    <m/>
    <n v="2.1836562240347018E-3"/>
    <n v="0.67728525337170398"/>
    <s v="A"/>
    <s v="Y"/>
    <s v="AY"/>
    <s v="Frequent Monitoring"/>
    <s v="Every 2 Days"/>
    <s v="Frequent Monitoring"/>
    <s v="High"/>
    <n v="60"/>
    <x v="0"/>
  </r>
  <r>
    <s v="ITEM212"/>
    <s v="Connector"/>
    <s v="Raw Material"/>
    <x v="2"/>
    <n v="464"/>
    <n v="342"/>
    <n v="75"/>
    <n v="26"/>
    <n v="237.07"/>
    <n v="0.18"/>
    <n v="452"/>
    <n v="1"/>
    <n v="4"/>
    <n v="11.4"/>
    <n v="11.4"/>
    <n v="0.21929824561403508"/>
    <s v="Moderate"/>
    <n v="382.42646351945882"/>
    <n v="419.8264635194588"/>
    <n v="44.173536480541202"/>
    <s v=" Risk"/>
    <n v="4104"/>
    <n v="972935.28"/>
    <m/>
    <n v="2.1813228380391627E-3"/>
    <n v="0.67946657620974316"/>
    <s v="A"/>
    <s v="Y"/>
    <s v="AY"/>
    <s v="Frequent Monitoring"/>
    <s v="Every 2 Days"/>
    <s v="Frequent Monitoring"/>
    <s v="High"/>
    <n v="50"/>
    <x v="2"/>
  </r>
  <r>
    <s v="ITEM418"/>
    <s v="Tube"/>
    <s v="Finished Goods"/>
    <x v="0"/>
    <n v="895"/>
    <n v="488"/>
    <n v="87"/>
    <n v="10"/>
    <n v="165.18"/>
    <n v="0.1"/>
    <n v="146"/>
    <n v="0.81"/>
    <n v="8"/>
    <n v="16.266666666666666"/>
    <n v="16.266666666666666"/>
    <n v="0.17827868852459017"/>
    <s v="Stable"/>
    <n v="275.11815643464899"/>
    <n v="301.38482310131565"/>
    <n v="593.61517689868435"/>
    <s v=" Safe"/>
    <n v="5856"/>
    <n v="967294.08000000007"/>
    <m/>
    <n v="2.1686752563891826E-3"/>
    <n v="0.68163525146613235"/>
    <s v="A"/>
    <s v="X"/>
    <s v="AX"/>
    <s v="Strict Control"/>
    <s v="Daily"/>
    <s v="Strict Replenishment"/>
    <s v="Low"/>
    <n v="60"/>
    <x v="0"/>
  </r>
  <r>
    <s v="ITEM349"/>
    <s v="Valve"/>
    <s v="Finished Goods"/>
    <x v="3"/>
    <n v="123"/>
    <n v="220"/>
    <n v="59"/>
    <n v="3"/>
    <n v="365.04"/>
    <n v="0.09"/>
    <n v="429"/>
    <n v="0.81"/>
    <n v="7"/>
    <n v="7.333333333333333"/>
    <n v="7.333333333333333"/>
    <n v="0.26818181818181819"/>
    <s v="Moderate"/>
    <n v="102.19099764656376"/>
    <n v="112.52433097989709"/>
    <n v="10.475669020102913"/>
    <s v=" Risk"/>
    <n v="2640"/>
    <n v="963705.60000000009"/>
    <m/>
    <n v="2.1606298770728452E-3"/>
    <n v="0.68379588134320524"/>
    <s v="A"/>
    <s v="Y"/>
    <s v="AY"/>
    <s v="Frequent Monitoring"/>
    <s v="Every 2 Days"/>
    <s v="Frequent Monitoring"/>
    <s v="High"/>
    <n v="60"/>
    <x v="0"/>
  </r>
  <r>
    <s v="ITEM135"/>
    <s v="Pipe A"/>
    <s v="Finished Goods"/>
    <x v="0"/>
    <n v="628"/>
    <n v="467"/>
    <n v="73"/>
    <n v="25"/>
    <n v="171.32"/>
    <n v="0.12"/>
    <n v="225"/>
    <n v="0.72"/>
    <n v="9"/>
    <n v="15.566666666666666"/>
    <n v="15.566666666666666"/>
    <n v="0.15631691648822268"/>
    <s v="Stable"/>
    <n v="365"/>
    <n v="405.56666666666666"/>
    <n v="222.43333333333334"/>
    <s v=" Risk"/>
    <n v="5604"/>
    <n v="960077.27999999991"/>
    <m/>
    <n v="2.1524951763970566E-3"/>
    <n v="0.68594837651960228"/>
    <s v="A"/>
    <s v="X"/>
    <s v="AX"/>
    <s v="Strict Control"/>
    <s v="Daily"/>
    <s v="Strict Replenishment"/>
    <s v="Low"/>
    <n v="60"/>
    <x v="0"/>
  </r>
  <r>
    <s v="ITEM122"/>
    <s v="Pipe A"/>
    <s v="Raw Material"/>
    <x v="3"/>
    <n v="470"/>
    <n v="268"/>
    <n v="73"/>
    <n v="23"/>
    <n v="297.51"/>
    <n v="0.19"/>
    <n v="416"/>
    <n v="0.97"/>
    <n v="5"/>
    <n v="8.9333333333333336"/>
    <n v="8.9333333333333336"/>
    <n v="0.27238805970149255"/>
    <s v="Moderate"/>
    <n v="350.09570120182849"/>
    <n v="382.02903453516183"/>
    <n v="87.970965464838173"/>
    <s v=" Risk"/>
    <n v="3216"/>
    <n v="956792.15999999992"/>
    <m/>
    <n v="2.1451299308056959E-3"/>
    <n v="0.68809350645040801"/>
    <s v="A"/>
    <s v="Y"/>
    <s v="AY"/>
    <s v="Frequent Monitoring"/>
    <s v="Every 2 Days"/>
    <s v="Frequent Monitoring"/>
    <s v="High"/>
    <n v="60"/>
    <x v="0"/>
  </r>
  <r>
    <s v="ITEM457"/>
    <s v="Tube"/>
    <s v="Raw Material"/>
    <x v="1"/>
    <n v="791"/>
    <n v="204"/>
    <n v="35"/>
    <n v="25"/>
    <n v="386.15"/>
    <n v="0.1"/>
    <n v="727"/>
    <n v="0.9"/>
    <n v="8"/>
    <n v="6.8"/>
    <n v="6.8"/>
    <n v="0.17156862745098039"/>
    <s v="Stable"/>
    <n v="175"/>
    <n v="206.8"/>
    <n v="584.20000000000005"/>
    <s v=" Safe"/>
    <n v="2448"/>
    <n v="945295.2"/>
    <m/>
    <n v="2.1193537235578487E-3"/>
    <n v="0.69021286017396588"/>
    <s v="A"/>
    <s v="X"/>
    <s v="AX"/>
    <s v="Strict Control"/>
    <s v="Daily"/>
    <s v="Strict Replenishment"/>
    <s v="Low"/>
    <n v="60"/>
    <x v="0"/>
  </r>
  <r>
    <s v="ITEM415"/>
    <s v="Rod"/>
    <s v="Finished Goods"/>
    <x v="1"/>
    <n v="193"/>
    <n v="204"/>
    <n v="58"/>
    <n v="1"/>
    <n v="385.57"/>
    <n v="0.12"/>
    <n v="770"/>
    <n v="0.76"/>
    <n v="3"/>
    <n v="6.8"/>
    <n v="6.8"/>
    <n v="0.28431372549019607"/>
    <s v="Moderate"/>
    <n v="58"/>
    <n v="65.8"/>
    <n v="127.2"/>
    <s v=" Safe"/>
    <n v="2448"/>
    <n v="943875.36"/>
    <m/>
    <n v="2.1161704394463284E-3"/>
    <n v="0.69232903061341222"/>
    <s v="A"/>
    <s v="Y"/>
    <s v="AY"/>
    <s v="Frequent Monitoring"/>
    <s v="Every 2 Days"/>
    <s v="Frequent Monitoring"/>
    <s v="High"/>
    <n v="50"/>
    <x v="2"/>
  </r>
  <r>
    <s v="ITEM247"/>
    <s v="Pipe A"/>
    <s v="Finished Goods"/>
    <x v="4"/>
    <n v="738"/>
    <n v="306"/>
    <n v="54"/>
    <n v="26"/>
    <n v="256.92"/>
    <n v="0.19"/>
    <n v="536"/>
    <n v="0.97"/>
    <n v="1"/>
    <n v="10.199999999999999"/>
    <n v="10.199999999999999"/>
    <n v="0.17647058823529413"/>
    <s v="Stable"/>
    <n v="275.34705373401039"/>
    <n v="311.54705373401038"/>
    <n v="426.45294626598962"/>
    <s v=" Safe"/>
    <n v="3672"/>
    <n v="943410.24000000011"/>
    <m/>
    <n v="2.1151276394787617E-3"/>
    <n v="0.69444415825289096"/>
    <s v="A"/>
    <s v="X"/>
    <s v="AX"/>
    <s v="Strict Control"/>
    <s v="Daily"/>
    <s v="Strict Replenishment"/>
    <s v="Low"/>
    <n v="40"/>
    <x v="1"/>
  </r>
  <r>
    <s v="ITEM166"/>
    <s v="Connector"/>
    <s v="Raw Material"/>
    <x v="1"/>
    <n v="532"/>
    <n v="299"/>
    <n v="14"/>
    <n v="19"/>
    <n v="262.64999999999998"/>
    <n v="0.15"/>
    <n v="539"/>
    <n v="0.92"/>
    <n v="10"/>
    <n v="9.9666666666666668"/>
    <n v="9.9666666666666668"/>
    <n v="4.6822742474916385E-2"/>
    <s v="Stable"/>
    <n v="61.024585209569437"/>
    <n v="89.991251876236106"/>
    <n v="442.00874812376389"/>
    <s v=" Safe"/>
    <n v="3588"/>
    <n v="942388.2"/>
    <m/>
    <n v="2.1128362237605547E-3"/>
    <n v="0.69655699447665154"/>
    <s v="A"/>
    <s v="X"/>
    <s v="AX"/>
    <s v="Strict Control"/>
    <s v="Daily"/>
    <s v="Strict Replenishment"/>
    <s v="Low"/>
    <n v="60"/>
    <x v="0"/>
  </r>
  <r>
    <s v="ITEM190"/>
    <s v="Sheet"/>
    <s v="Raw Material"/>
    <x v="2"/>
    <n v="229"/>
    <n v="256"/>
    <n v="35"/>
    <n v="5"/>
    <n v="305.82"/>
    <n v="0.13"/>
    <n v="219"/>
    <n v="0.95"/>
    <n v="9"/>
    <n v="8.5333333333333332"/>
    <n v="8.5333333333333332"/>
    <n v="0.13671875"/>
    <s v="Stable"/>
    <n v="78.262379212492647"/>
    <n v="91.795712545825978"/>
    <n v="137.20428745417402"/>
    <s v=" Safe"/>
    <n v="3072"/>
    <n v="939479.04000000004"/>
    <m/>
    <n v="2.1063138812389536E-3"/>
    <n v="0.69866330835789048"/>
    <s v="A"/>
    <s v="X"/>
    <s v="AX"/>
    <s v="Strict Control"/>
    <s v="Daily"/>
    <s v="Strict Replenishment"/>
    <s v="Low"/>
    <n v="60"/>
    <x v="0"/>
  </r>
  <r>
    <s v="ITEM155"/>
    <s v="Sheet"/>
    <s v="Finished Goods"/>
    <x v="0"/>
    <n v="829"/>
    <n v="421"/>
    <n v="87"/>
    <n v="18"/>
    <n v="185.36"/>
    <n v="0.24"/>
    <n v="254"/>
    <n v="0.86"/>
    <n v="10"/>
    <n v="14.033333333333333"/>
    <n v="14.033333333333333"/>
    <n v="0.20665083135391923"/>
    <s v="Moderate"/>
    <n v="369.10973977937778"/>
    <n v="401.14307311271114"/>
    <n v="427.85692688728886"/>
    <s v=" Safe"/>
    <n v="5052"/>
    <n v="936438.72000000009"/>
    <m/>
    <n v="2.0994974777357863E-3"/>
    <n v="0.70076280583562622"/>
    <s v="A"/>
    <s v="Y"/>
    <s v="AY"/>
    <s v="Frequent Monitoring"/>
    <s v="Every 2 Days"/>
    <s v="Frequent Monitoring"/>
    <s v="High"/>
    <n v="70"/>
    <x v="3"/>
  </r>
  <r>
    <s v="ITEM475"/>
    <s v="Valve"/>
    <s v="Raw Material"/>
    <x v="2"/>
    <n v="313"/>
    <n v="294"/>
    <n v="68"/>
    <n v="27"/>
    <n v="263.39999999999998"/>
    <n v="0.24"/>
    <n v="863"/>
    <n v="0.92"/>
    <n v="2"/>
    <n v="9.8000000000000007"/>
    <n v="9.8000000000000007"/>
    <n v="0.23129251700680273"/>
    <s v="Moderate"/>
    <n v="353.33836474405098"/>
    <n v="390.13836474405099"/>
    <n v="-77.138364744050989"/>
    <s v=" Need to Order"/>
    <n v="3528"/>
    <n v="929275.2"/>
    <m/>
    <n v="2.0834368516099142E-3"/>
    <n v="0.70284624268723617"/>
    <s v="A"/>
    <s v="Y"/>
    <s v="AY"/>
    <s v="Frequent Monitoring"/>
    <s v="Every 2 Days"/>
    <s v="Frequent Monitoring"/>
    <s v="High"/>
    <n v="50"/>
    <x v="2"/>
  </r>
  <r>
    <s v="ITEM051"/>
    <s v="Pipe A"/>
    <s v="Raw Material"/>
    <x v="3"/>
    <n v="202"/>
    <n v="289"/>
    <n v="75"/>
    <n v="1"/>
    <n v="267.36"/>
    <n v="0.15"/>
    <n v="483"/>
    <n v="0.7"/>
    <n v="2"/>
    <n v="9.6333333333333329"/>
    <n v="9.6333333333333329"/>
    <n v="0.25951557093425603"/>
    <s v="Moderate"/>
    <n v="75"/>
    <n v="85.633333333333326"/>
    <n v="116.36666666666667"/>
    <s v=" Safe"/>
    <n v="3468"/>
    <n v="927204.4800000001"/>
    <m/>
    <n v="2.0787942932403748E-3"/>
    <n v="0.70492503698047659"/>
    <s v="A"/>
    <s v="Y"/>
    <s v="AY"/>
    <s v="Frequent Monitoring"/>
    <s v="Every 2 Days"/>
    <s v="Frequent Monitoring"/>
    <s v="High"/>
    <n v="50"/>
    <x v="2"/>
  </r>
  <r>
    <s v="ITEM128"/>
    <s v="Pipe B"/>
    <s v="Finished Goods"/>
    <x v="1"/>
    <n v="763"/>
    <n v="182"/>
    <n v="88"/>
    <n v="29"/>
    <n v="422.97"/>
    <n v="0.23"/>
    <n v="736"/>
    <n v="0.93"/>
    <n v="5"/>
    <n v="6.0666666666666664"/>
    <n v="6.0666666666666664"/>
    <n v="0.48351648351648352"/>
    <s v="Moderate"/>
    <n v="473.89450302783632"/>
    <n v="508.96116969450298"/>
    <n v="254.03883030549702"/>
    <s v=" Risk"/>
    <n v="2184"/>
    <n v="923766.4800000001"/>
    <m/>
    <n v="2.0710862903841332E-3"/>
    <n v="0.7069961232708607"/>
    <s v="A"/>
    <s v="Y"/>
    <s v="AY"/>
    <s v="Frequent Monitoring"/>
    <s v="Every 2 Days"/>
    <s v="Frequent Monitoring"/>
    <s v="High"/>
    <n v="60"/>
    <x v="0"/>
  </r>
  <r>
    <s v="ITEM361"/>
    <s v="Rod"/>
    <s v="Raw Material"/>
    <x v="2"/>
    <n v="947"/>
    <n v="269"/>
    <n v="50"/>
    <n v="25"/>
    <n v="285.91000000000003"/>
    <n v="0.15"/>
    <n v="886"/>
    <n v="0.85"/>
    <n v="1"/>
    <n v="8.9666666666666668"/>
    <n v="8.9666666666666668"/>
    <n v="0.18587360594795538"/>
    <s v="Stable"/>
    <n v="250"/>
    <n v="283.9666666666667"/>
    <n v="663.0333333333333"/>
    <s v=" Safe"/>
    <n v="3228"/>
    <n v="922917.4800000001"/>
    <m/>
    <n v="2.0691828306910122E-3"/>
    <n v="0.70906530610155172"/>
    <s v="A"/>
    <s v="X"/>
    <s v="AX"/>
    <s v="Strict Control"/>
    <s v="Daily"/>
    <s v="Strict Replenishment"/>
    <s v="Low"/>
    <n v="40"/>
    <x v="1"/>
  </r>
  <r>
    <s v="ITEM084"/>
    <s v="Valve"/>
    <s v="Raw Material"/>
    <x v="3"/>
    <n v="223"/>
    <n v="264"/>
    <n v="15"/>
    <n v="26"/>
    <n v="290.06"/>
    <n v="7.0000000000000007E-2"/>
    <n v="949"/>
    <n v="0.71"/>
    <n v="8"/>
    <n v="8.8000000000000007"/>
    <n v="8.8000000000000007"/>
    <n v="5.6818181818181816E-2"/>
    <s v="Stable"/>
    <n v="76.485292703891773"/>
    <n v="111.28529270389177"/>
    <n v="111.71470729610823"/>
    <s v=" Safe"/>
    <n v="3168"/>
    <n v="918910.08"/>
    <m/>
    <n v="2.0601982318992421E-3"/>
    <n v="0.71112550433345101"/>
    <s v="A"/>
    <s v="X"/>
    <s v="AX"/>
    <s v="Strict Control"/>
    <s v="Daily"/>
    <s v="Strict Replenishment"/>
    <s v="Low"/>
    <n v="60"/>
    <x v="0"/>
  </r>
  <r>
    <s v="ITEM006"/>
    <s v="Sheet"/>
    <s v="Finished Goods"/>
    <x v="3"/>
    <n v="871"/>
    <n v="377"/>
    <n v="62"/>
    <n v="10"/>
    <n v="202.65"/>
    <n v="0.24"/>
    <n v="685"/>
    <n v="0.88"/>
    <n v="7"/>
    <n v="12.566666666666666"/>
    <n v="12.566666666666666"/>
    <n v="0.16445623342175067"/>
    <s v="Stable"/>
    <n v="196.06121493043952"/>
    <n v="218.62788159710618"/>
    <n v="652.37211840289388"/>
    <s v=" Safe"/>
    <n v="4524"/>
    <n v="916788.6"/>
    <m/>
    <n v="2.0554418695084742E-3"/>
    <n v="0.71318094620295946"/>
    <s v="A"/>
    <s v="X"/>
    <s v="AX"/>
    <s v="Strict Control"/>
    <s v="Daily"/>
    <s v="Strict Replenishment"/>
    <s v="Low"/>
    <n v="50"/>
    <x v="2"/>
  </r>
  <r>
    <s v="ITEM223"/>
    <s v="Pipe B"/>
    <s v="Raw Material"/>
    <x v="0"/>
    <n v="675"/>
    <n v="257"/>
    <n v="17"/>
    <n v="27"/>
    <n v="296.79000000000002"/>
    <n v="0.05"/>
    <n v="702"/>
    <n v="0.83"/>
    <n v="3"/>
    <n v="8.5666666666666664"/>
    <n v="8.5666666666666664"/>
    <n v="6.6147859922178989E-2"/>
    <s v="Stable"/>
    <n v="88.334591186012744"/>
    <n v="123.90125785267941"/>
    <n v="551.09874214732054"/>
    <s v=" Safe"/>
    <n v="3084"/>
    <n v="915300.3600000001"/>
    <m/>
    <n v="2.0521052324605472E-3"/>
    <n v="0.71523305143542004"/>
    <s v="A"/>
    <s v="X"/>
    <s v="AX"/>
    <s v="Strict Control"/>
    <s v="Daily"/>
    <s v="Strict Replenishment"/>
    <s v="Low"/>
    <n v="40"/>
    <x v="1"/>
  </r>
  <r>
    <s v="ITEM058"/>
    <s v="Pipe A"/>
    <s v="Raw Material"/>
    <x v="4"/>
    <n v="125"/>
    <n v="178"/>
    <n v="66"/>
    <n v="15"/>
    <n v="422.96"/>
    <n v="0.16"/>
    <n v="695"/>
    <n v="0.73"/>
    <n v="7"/>
    <n v="5.9333333333333336"/>
    <n v="5.9333333333333336"/>
    <n v="0.3707865168539326"/>
    <s v="Moderate"/>
    <n v="255.61690084968953"/>
    <n v="276.55023418302284"/>
    <n v="-151.55023418302284"/>
    <s v=" Need to Order"/>
    <n v="2136"/>
    <n v="903442.55999999994"/>
    <m/>
    <n v="2.0255200212130928E-3"/>
    <n v="0.71725857145663319"/>
    <s v="A"/>
    <s v="Y"/>
    <s v="AY"/>
    <s v="Frequent Monitoring"/>
    <s v="Every 2 Days"/>
    <s v="Frequent Monitoring"/>
    <s v="High"/>
    <n v="60"/>
    <x v="0"/>
  </r>
  <r>
    <s v="ITEM401"/>
    <s v="Flange"/>
    <s v="Raw Material"/>
    <x v="2"/>
    <n v="703"/>
    <n v="227"/>
    <n v="96"/>
    <n v="9"/>
    <n v="329.54"/>
    <n v="0.19"/>
    <n v="547"/>
    <n v="0.83"/>
    <n v="8"/>
    <n v="7.5666666666666664"/>
    <n v="7.5666666666666664"/>
    <n v="0.42290748898678415"/>
    <s v="Moderate"/>
    <n v="288"/>
    <n v="304.56666666666666"/>
    <n v="398.43333333333334"/>
    <s v=" Safe"/>
    <n v="2724"/>
    <n v="897666.96000000008"/>
    <m/>
    <n v="2.0125711144950852E-3"/>
    <n v="0.71927114257112823"/>
    <s v="A"/>
    <s v="Y"/>
    <s v="AY"/>
    <s v="Frequent Monitoring"/>
    <s v="Every 2 Days"/>
    <s v="Frequent Monitoring"/>
    <s v="High"/>
    <n v="70"/>
    <x v="3"/>
  </r>
  <r>
    <s v="ITEM268"/>
    <s v="Valve"/>
    <s v="Finished Goods"/>
    <x v="2"/>
    <n v="985"/>
    <n v="184"/>
    <n v="9"/>
    <n v="12"/>
    <n v="403.94"/>
    <n v="0.05"/>
    <n v="192"/>
    <n v="0.78"/>
    <n v="5"/>
    <n v="6.1333333333333337"/>
    <n v="6.1333333333333337"/>
    <n v="4.8913043478260872E-2"/>
    <s v="Stable"/>
    <n v="31.176914536239789"/>
    <n v="49.310247869573118"/>
    <n v="935.68975213042688"/>
    <s v=" Safe"/>
    <n v="2208"/>
    <n v="891899.52"/>
    <m/>
    <n v="1.99964050251335E-3"/>
    <n v="0.72127078307364156"/>
    <s v="A"/>
    <s v="X"/>
    <s v="AX"/>
    <s v="Strict Control"/>
    <s v="Daily"/>
    <s v="Strict Replenishment"/>
    <s v="Low"/>
    <n v="50"/>
    <x v="2"/>
  </r>
  <r>
    <s v="ITEM090"/>
    <s v="Flange"/>
    <s v="Finished Goods"/>
    <x v="0"/>
    <n v="740"/>
    <n v="474"/>
    <n v="23"/>
    <n v="23"/>
    <n v="155.22"/>
    <n v="7.0000000000000007E-2"/>
    <n v="167"/>
    <n v="0.98"/>
    <n v="5"/>
    <n v="15.8"/>
    <n v="15.8"/>
    <n v="4.852320675105485E-2"/>
    <s v="Stable"/>
    <n v="110.30412503619254"/>
    <n v="149.10412503619256"/>
    <n v="590.8958749638075"/>
    <s v=" Safe"/>
    <n v="5688"/>
    <n v="882891.36"/>
    <m/>
    <n v="1.9794441898287993E-3"/>
    <n v="0.72325022726347032"/>
    <s v="A"/>
    <s v="X"/>
    <s v="AX"/>
    <s v="Strict Control"/>
    <s v="Daily"/>
    <s v="Strict Replenishment"/>
    <s v="Low"/>
    <n v="50"/>
    <x v="2"/>
  </r>
  <r>
    <s v="ITEM403"/>
    <s v="Connector"/>
    <s v="Raw Material"/>
    <x v="0"/>
    <n v="521"/>
    <n v="268"/>
    <n v="19"/>
    <n v="13"/>
    <n v="274.08"/>
    <n v="0.08"/>
    <n v="291"/>
    <n v="0.96"/>
    <n v="2"/>
    <n v="8.9333333333333336"/>
    <n v="8.9333333333333336"/>
    <n v="7.0895522388059698E-2"/>
    <s v="Stable"/>
    <n v="68.505474233815789"/>
    <n v="90.438807567149126"/>
    <n v="430.56119243285087"/>
    <s v=" Safe"/>
    <n v="3216"/>
    <n v="881441.27999999991"/>
    <m/>
    <n v="1.9761931075769727E-3"/>
    <n v="0.72522642037104734"/>
    <s v="A"/>
    <s v="X"/>
    <s v="AX"/>
    <s v="Strict Control"/>
    <s v="Daily"/>
    <s v="Strict Replenishment"/>
    <s v="Low"/>
    <n v="40"/>
    <x v="1"/>
  </r>
  <r>
    <s v="ITEM291"/>
    <s v="Connector"/>
    <s v="Raw Material"/>
    <x v="3"/>
    <n v="881"/>
    <n v="203"/>
    <n v="18"/>
    <n v="5"/>
    <n v="361.79"/>
    <n v="0.12"/>
    <n v="164"/>
    <n v="0.81"/>
    <n v="9"/>
    <n v="6.7666666666666666"/>
    <n v="6.7666666666666666"/>
    <n v="8.8669950738916259E-2"/>
    <s v="Stable"/>
    <n v="40.249223594996216"/>
    <n v="52.015890261662882"/>
    <n v="828.98410973833711"/>
    <s v=" Safe"/>
    <n v="2436"/>
    <n v="881320.44000000006"/>
    <m/>
    <n v="1.9759221840559876E-3"/>
    <n v="0.7272023425551033"/>
    <s v="A"/>
    <s v="X"/>
    <s v="AX"/>
    <s v="Strict Control"/>
    <s v="Daily"/>
    <s v="Strict Replenishment"/>
    <s v="Low"/>
    <n v="60"/>
    <x v="0"/>
  </r>
  <r>
    <s v="ITEM455"/>
    <s v="Sheet"/>
    <s v="Raw Material"/>
    <x v="0"/>
    <n v="287"/>
    <n v="493"/>
    <n v="24"/>
    <n v="27"/>
    <n v="147.59"/>
    <n v="0.13"/>
    <n v="286"/>
    <n v="0.99"/>
    <n v="6"/>
    <n v="16.433333333333334"/>
    <n v="16.433333333333334"/>
    <n v="4.8681541582150101E-2"/>
    <s v="Stable"/>
    <n v="124.70765814495917"/>
    <n v="168.14099147829251"/>
    <n v="118.85900852170749"/>
    <s v=" Risk"/>
    <n v="5916"/>
    <n v="873142.44000000006"/>
    <m/>
    <n v="1.9575870917469861E-3"/>
    <n v="0.72915992964685028"/>
    <s v="A"/>
    <s v="X"/>
    <s v="AX"/>
    <s v="Strict Control"/>
    <s v="Daily"/>
    <s v="Strict Replenishment"/>
    <s v="Low"/>
    <n v="50"/>
    <x v="2"/>
  </r>
  <r>
    <s v="ITEM227"/>
    <s v="Connector"/>
    <s v="Finished Goods"/>
    <x v="3"/>
    <n v="895"/>
    <n v="342"/>
    <n v="94"/>
    <n v="27"/>
    <n v="212.03"/>
    <n v="0.12"/>
    <n v="872"/>
    <n v="0.91"/>
    <n v="9"/>
    <n v="11.4"/>
    <n v="11.4"/>
    <n v="0.27485380116959063"/>
    <s v="Moderate"/>
    <n v="488.43832773442341"/>
    <n v="526.83832773442339"/>
    <n v="368.16167226557661"/>
    <s v=" Risk"/>
    <n v="4104"/>
    <n v="870171.12"/>
    <m/>
    <n v="1.9509253863814219E-3"/>
    <n v="0.7311108550332317"/>
    <s v="A"/>
    <s v="Y"/>
    <s v="AY"/>
    <s v="Frequent Monitoring"/>
    <s v="Every 2 Days"/>
    <s v="Frequent Monitoring"/>
    <s v="High"/>
    <n v="70"/>
    <x v="3"/>
  </r>
  <r>
    <s v="ITEM086"/>
    <s v="Pipe B"/>
    <s v="Raw Material"/>
    <x v="0"/>
    <n v="766"/>
    <n v="359"/>
    <n v="21"/>
    <n v="10"/>
    <n v="201.19"/>
    <n v="0.11"/>
    <n v="522"/>
    <n v="0.81"/>
    <n v="8"/>
    <n v="11.966666666666667"/>
    <n v="11.966666666666667"/>
    <n v="5.8495821727019497E-2"/>
    <s v="Stable"/>
    <n v="66.407830863535963"/>
    <n v="88.374497530202632"/>
    <n v="677.62550246979731"/>
    <s v=" Safe"/>
    <n v="4308"/>
    <n v="866726.52"/>
    <m/>
    <n v="1.9432025863120178E-3"/>
    <n v="0.73305405761954368"/>
    <s v="A"/>
    <s v="X"/>
    <s v="AX"/>
    <s v="Strict Control"/>
    <s v="Daily"/>
    <s v="Strict Replenishment"/>
    <s v="Low"/>
    <n v="60"/>
    <x v="0"/>
  </r>
  <r>
    <s v="ITEM083"/>
    <s v="Flange"/>
    <s v="Raw Material"/>
    <x v="3"/>
    <n v="180"/>
    <n v="357"/>
    <n v="92"/>
    <n v="4"/>
    <n v="202.07"/>
    <n v="0.11"/>
    <n v="987"/>
    <n v="0.98"/>
    <n v="8"/>
    <n v="11.9"/>
    <n v="11.9"/>
    <n v="0.25770308123249297"/>
    <s v="Moderate"/>
    <n v="184"/>
    <n v="199.9"/>
    <n v="-19.900000000000006"/>
    <s v=" Need to Order"/>
    <n v="4284"/>
    <n v="865667.88"/>
    <m/>
    <n v="1.9408291133208217E-3"/>
    <n v="0.73499488673286451"/>
    <s v="A"/>
    <s v="Y"/>
    <s v="AY"/>
    <s v="Frequent Monitoring"/>
    <s v="Every 2 Days"/>
    <s v="Frequent Monitoring"/>
    <s v="High"/>
    <n v="70"/>
    <x v="3"/>
  </r>
  <r>
    <s v="ITEM233"/>
    <s v="Sheet"/>
    <s v="Raw Material"/>
    <x v="2"/>
    <n v="749"/>
    <n v="390"/>
    <n v="80"/>
    <n v="26"/>
    <n v="180"/>
    <n v="0.09"/>
    <n v="467"/>
    <n v="0.82"/>
    <n v="6"/>
    <n v="13"/>
    <n v="13"/>
    <n v="0.20512820512820512"/>
    <s v="Moderate"/>
    <n v="407.92156108742279"/>
    <n v="446.92156108742279"/>
    <n v="302.07843891257721"/>
    <s v=" Risk"/>
    <n v="4680"/>
    <n v="842400"/>
    <m/>
    <n v="1.8886624799587808E-3"/>
    <n v="0.73688354921282329"/>
    <s v="A"/>
    <s v="Y"/>
    <s v="AY"/>
    <s v="Frequent Monitoring"/>
    <s v="Every 2 Days"/>
    <s v="Frequent Monitoring"/>
    <s v="High"/>
    <n v="60"/>
    <x v="0"/>
  </r>
  <r>
    <s v="ITEM293"/>
    <s v="Rod"/>
    <s v="Raw Material"/>
    <x v="0"/>
    <n v="329"/>
    <n v="463"/>
    <n v="8"/>
    <n v="15"/>
    <n v="151.1"/>
    <n v="0.09"/>
    <n v="609"/>
    <n v="0.73"/>
    <n v="10"/>
    <n v="15.433333333333334"/>
    <n v="15.433333333333334"/>
    <n v="1.7278617710583154E-2"/>
    <s v="Stable"/>
    <n v="30.983866769659336"/>
    <n v="61.417200102992666"/>
    <n v="267.58279989700736"/>
    <s v=" Safe"/>
    <n v="5556"/>
    <n v="839511.6"/>
    <m/>
    <n v="1.88218668139858E-3"/>
    <n v="0.7387657358942219"/>
    <s v="A"/>
    <s v="X"/>
    <s v="AX"/>
    <s v="Strict Control"/>
    <s v="Daily"/>
    <s v="Strict Replenishment"/>
    <s v="Low"/>
    <n v="60"/>
    <x v="0"/>
  </r>
  <r>
    <s v="ITEM053"/>
    <s v="Connector"/>
    <s v="Finished Goods"/>
    <x v="2"/>
    <n v="896"/>
    <n v="177"/>
    <n v="97"/>
    <n v="28"/>
    <n v="394.99"/>
    <n v="0.11"/>
    <n v="972"/>
    <n v="0.95"/>
    <n v="6"/>
    <n v="5.9"/>
    <n v="5.9"/>
    <n v="0.54802259887005644"/>
    <s v="Highly veriable"/>
    <n v="513.27575434653056"/>
    <n v="547.17575434653054"/>
    <n v="348.82424565346946"/>
    <s v=" Risk"/>
    <n v="2124"/>
    <n v="838958.76"/>
    <m/>
    <n v="1.8809472130160774E-3"/>
    <n v="0.74064668310723802"/>
    <s v="A"/>
    <s v="Z"/>
    <s v="AZ"/>
    <s v="Risk-Control Strategy"/>
    <s v="Daily + Manager Review"/>
    <s v="Increase Safety Stock"/>
    <s v="Critical"/>
    <n v="70"/>
    <x v="3"/>
  </r>
  <r>
    <s v="ITEM029"/>
    <s v="Flange"/>
    <s v="Finished Goods"/>
    <x v="2"/>
    <n v="247"/>
    <n v="299"/>
    <n v="50"/>
    <n v="2"/>
    <n v="233.49"/>
    <n v="0.21"/>
    <n v="573"/>
    <n v="0.93"/>
    <n v="6"/>
    <n v="9.9666666666666668"/>
    <n v="9.9666666666666668"/>
    <n v="0.16722408026755853"/>
    <s v="Stable"/>
    <n v="70.710678118654755"/>
    <n v="82.677344785321424"/>
    <n v="164.32265521467858"/>
    <s v=" Safe"/>
    <n v="3588"/>
    <n v="837762.12"/>
    <m/>
    <n v="1.8782643437496743E-3"/>
    <n v="0.74252494745098774"/>
    <s v="A"/>
    <s v="X"/>
    <s v="AX"/>
    <s v="Strict Control"/>
    <s v="Daily"/>
    <s v="Strict Replenishment"/>
    <s v="Low"/>
    <n v="50"/>
    <x v="2"/>
  </r>
  <r>
    <s v="ITEM180"/>
    <s v="Flange"/>
    <s v="Raw Material"/>
    <x v="2"/>
    <n v="497"/>
    <n v="207"/>
    <n v="14"/>
    <n v="7"/>
    <n v="334.73"/>
    <n v="0.24"/>
    <n v="868"/>
    <n v="0.72"/>
    <n v="1"/>
    <n v="6.9"/>
    <n v="6.9"/>
    <n v="6.7632850241545889E-2"/>
    <s v="Stable"/>
    <n v="37.040518354904272"/>
    <n v="50.94051835490427"/>
    <n v="446.05948164509573"/>
    <s v=" Safe"/>
    <n v="2484"/>
    <n v="831469.32000000007"/>
    <m/>
    <n v="1.8641558736002387E-3"/>
    <n v="0.74438910332458796"/>
    <s v="A"/>
    <s v="X"/>
    <s v="AX"/>
    <s v="Strict Control"/>
    <s v="Daily"/>
    <s v="Strict Replenishment"/>
    <s v="Low"/>
    <n v="40"/>
    <x v="1"/>
  </r>
  <r>
    <s v="ITEM427"/>
    <s v="Rod"/>
    <s v="Raw Material"/>
    <x v="1"/>
    <n v="915"/>
    <n v="322"/>
    <n v="63"/>
    <n v="17"/>
    <n v="214.54"/>
    <n v="0.08"/>
    <n v="939"/>
    <n v="0.79"/>
    <n v="3"/>
    <n v="10.733333333333333"/>
    <n v="10.733333333333333"/>
    <n v="0.19565217391304349"/>
    <s v="Stable"/>
    <n v="259.75565441391262"/>
    <n v="287.48898774724597"/>
    <n v="627.51101225275397"/>
    <s v=" Safe"/>
    <n v="3864"/>
    <n v="828982.55999999994"/>
    <m/>
    <n v="1.8585805527210097E-3"/>
    <n v="0.746247683877309"/>
    <s v="A"/>
    <s v="X"/>
    <s v="AX"/>
    <s v="Strict Control"/>
    <s v="Daily"/>
    <s v="Strict Replenishment"/>
    <s v="Low"/>
    <n v="40"/>
    <x v="1"/>
  </r>
  <r>
    <s v="ITEM133"/>
    <s v="Connector"/>
    <s v="Finished Goods"/>
    <x v="3"/>
    <n v="608"/>
    <n v="163"/>
    <n v="29"/>
    <n v="8"/>
    <n v="421.93"/>
    <n v="0.16"/>
    <n v="524"/>
    <n v="0.98"/>
    <n v="6"/>
    <n v="5.4333333333333336"/>
    <n v="5.4333333333333336"/>
    <n v="0.17791411042944785"/>
    <s v="Stable"/>
    <n v="82.024386617639522"/>
    <n v="95.457719950972859"/>
    <n v="512.54228004902711"/>
    <s v=" Safe"/>
    <n v="1956"/>
    <n v="825295.08"/>
    <m/>
    <n v="1.8503132152072415E-3"/>
    <n v="0.74809799709251623"/>
    <s v="A"/>
    <s v="X"/>
    <s v="AX"/>
    <s v="Strict Control"/>
    <s v="Daily"/>
    <s v="Strict Replenishment"/>
    <s v="Low"/>
    <n v="50"/>
    <x v="2"/>
  </r>
  <r>
    <s v="ITEM091"/>
    <s v="Connector"/>
    <s v="Raw Material"/>
    <x v="4"/>
    <n v="759"/>
    <n v="156"/>
    <n v="44"/>
    <n v="24"/>
    <n v="434.68"/>
    <n v="0.18"/>
    <n v="801"/>
    <n v="0.83"/>
    <n v="4"/>
    <n v="5.2"/>
    <n v="5.2"/>
    <n v="0.28205128205128205"/>
    <s v="Moderate"/>
    <n v="215.55509736491965"/>
    <n v="244.75509736491964"/>
    <n v="514.24490263508039"/>
    <s v=" Safe"/>
    <n v="1872"/>
    <n v="813720.96"/>
    <m/>
    <n v="1.8243640150855172E-3"/>
    <n v="0.7499223611076018"/>
    <s v="A"/>
    <s v="Y"/>
    <s v="AY"/>
    <s v="Frequent Monitoring"/>
    <s v="Every 2 Days"/>
    <s v="Frequent Monitoring"/>
    <s v="High"/>
    <n v="50"/>
    <x v="2"/>
  </r>
  <r>
    <s v="ITEM015"/>
    <s v="Flange"/>
    <s v="Raw Material"/>
    <x v="4"/>
    <n v="388"/>
    <n v="494"/>
    <n v="56"/>
    <n v="11"/>
    <n v="136.85"/>
    <n v="0.13"/>
    <n v="743"/>
    <n v="0.93"/>
    <n v="7"/>
    <n v="16.466666666666665"/>
    <n v="16.466666666666665"/>
    <n v="0.11336032388663968"/>
    <s v="Stable"/>
    <n v="185.7309882599024"/>
    <n v="213.19765492656907"/>
    <n v="174.80234507343093"/>
    <s v=" Risk"/>
    <n v="5928"/>
    <n v="811246.79999999993"/>
    <m/>
    <n v="1.8188169434314161E-3"/>
    <n v="0.75174117805103324"/>
    <s v="A"/>
    <s v="X"/>
    <s v="AX"/>
    <s v="Strict Control"/>
    <s v="Daily"/>
    <s v="Strict Replenishment"/>
    <s v="Low"/>
    <n v="50"/>
    <x v="2"/>
  </r>
  <r>
    <s v="ITEM005"/>
    <s v="Sheet"/>
    <s v="Raw Material"/>
    <x v="4"/>
    <n v="643"/>
    <n v="371"/>
    <n v="28"/>
    <n v="11"/>
    <n v="179.64"/>
    <n v="0.16"/>
    <n v="952"/>
    <n v="0.99"/>
    <n v="9"/>
    <n v="12.366666666666667"/>
    <n v="12.366666666666667"/>
    <n v="7.5471698113207544E-2"/>
    <s v="Stable"/>
    <n v="92.865494129951202"/>
    <n v="116.23216079661788"/>
    <n v="526.7678392033821"/>
    <s v=" Safe"/>
    <n v="4452"/>
    <n v="799757.27999999991"/>
    <m/>
    <n v="1.7930574166784056E-3"/>
    <n v="0.7535342354677117"/>
    <s v="A"/>
    <s v="X"/>
    <s v="AX"/>
    <s v="Strict Control"/>
    <s v="Daily"/>
    <s v="Strict Replenishment"/>
    <s v="Low"/>
    <n v="60"/>
    <x v="0"/>
  </r>
  <r>
    <s v="ITEM499"/>
    <s v="Valve"/>
    <s v="Raw Material"/>
    <x v="2"/>
    <n v="613"/>
    <n v="278"/>
    <n v="93"/>
    <n v="5"/>
    <n v="238.61"/>
    <n v="0.16"/>
    <n v="659"/>
    <n v="0.8"/>
    <n v="5"/>
    <n v="9.2666666666666675"/>
    <n v="9.2666666666666675"/>
    <n v="0.3345323741007194"/>
    <s v="Moderate"/>
    <n v="207.95432190748045"/>
    <n v="222.22098857414713"/>
    <n v="390.7790114258529"/>
    <s v=" Safe"/>
    <n v="3336"/>
    <n v="796002.96000000008"/>
    <m/>
    <n v="1.7846402237513418E-3"/>
    <n v="0.75531887569146305"/>
    <s v="A"/>
    <s v="Y"/>
    <s v="AY"/>
    <s v="Frequent Monitoring"/>
    <s v="Every 2 Days"/>
    <s v="Frequent Monitoring"/>
    <s v="High"/>
    <n v="60"/>
    <x v="0"/>
  </r>
  <r>
    <s v="ITEM225"/>
    <s v="Tube"/>
    <s v="Raw Material"/>
    <x v="1"/>
    <n v="556"/>
    <n v="173"/>
    <n v="88"/>
    <n v="14"/>
    <n v="379.78"/>
    <n v="0.22"/>
    <n v="895"/>
    <n v="0.97"/>
    <n v="10"/>
    <n v="5.7666666666666666"/>
    <n v="5.7666666666666666"/>
    <n v="0.50867052023121384"/>
    <s v="Highly veriable"/>
    <n v="329.26585003610683"/>
    <n v="349.03251670277348"/>
    <n v="206.96748329722652"/>
    <s v=" Risk"/>
    <n v="2076"/>
    <n v="788423.27999999991"/>
    <m/>
    <n v="1.7676465660755414E-3"/>
    <n v="0.75708652225753859"/>
    <s v="A"/>
    <s v="Z"/>
    <s v="AZ"/>
    <s v="Risk-Control Strategy"/>
    <s v="Daily + Manager Review"/>
    <s v="Increase Safety Stock"/>
    <s v="Critical"/>
    <n v="80"/>
    <x v="3"/>
  </r>
  <r>
    <s v="ITEM224"/>
    <s v="Tube"/>
    <s v="Raw Material"/>
    <x v="3"/>
    <n v="19"/>
    <n v="428"/>
    <n v="37"/>
    <n v="9"/>
    <n v="152.59"/>
    <n v="0.09"/>
    <n v="216"/>
    <n v="0.97"/>
    <n v="1"/>
    <n v="14.266666666666667"/>
    <n v="14.266666666666667"/>
    <n v="8.6448598130841117E-2"/>
    <s v="Stable"/>
    <n v="111"/>
    <n v="134.26666666666665"/>
    <n v="-115.26666666666665"/>
    <s v=" Need to Order"/>
    <n v="5136"/>
    <n v="783702.24"/>
    <m/>
    <n v="1.757061984980593E-3"/>
    <n v="0.75884358424251919"/>
    <s v="A"/>
    <s v="X"/>
    <s v="AX"/>
    <s v="Strict Control"/>
    <s v="Daily"/>
    <s v="Strict Replenishment"/>
    <s v="Low"/>
    <n v="40"/>
    <x v="1"/>
  </r>
  <r>
    <s v="ITEM317"/>
    <s v="Pipe A"/>
    <s v="Finished Goods"/>
    <x v="3"/>
    <n v="723"/>
    <n v="401"/>
    <n v="32"/>
    <n v="12"/>
    <n v="162.47"/>
    <n v="0.1"/>
    <n v="532"/>
    <n v="0.71"/>
    <n v="5"/>
    <n v="13.366666666666667"/>
    <n v="13.366666666666667"/>
    <n v="7.9800498753117205E-2"/>
    <s v="Stable"/>
    <n v="110.85125168440814"/>
    <n v="136.21791835107481"/>
    <n v="586.78208164892521"/>
    <s v=" Safe"/>
    <n v="4812"/>
    <n v="781805.64"/>
    <m/>
    <n v="1.7528098039982928E-3"/>
    <n v="0.76059639404651747"/>
    <s v="A"/>
    <s v="X"/>
    <s v="AX"/>
    <s v="Strict Control"/>
    <s v="Daily"/>
    <s v="Strict Replenishment"/>
    <s v="Low"/>
    <n v="50"/>
    <x v="2"/>
  </r>
  <r>
    <s v="ITEM248"/>
    <s v="Sheet"/>
    <s v="Raw Material"/>
    <x v="0"/>
    <n v="362"/>
    <n v="417"/>
    <n v="56"/>
    <n v="11"/>
    <n v="155.62"/>
    <n v="0.23"/>
    <n v="230"/>
    <n v="0.97"/>
    <n v="1"/>
    <n v="13.9"/>
    <n v="13.9"/>
    <n v="0.1342925659472422"/>
    <s v="Stable"/>
    <n v="185.7309882599024"/>
    <n v="210.63098825990241"/>
    <n v="151.36901174009759"/>
    <s v=" Risk"/>
    <n v="5004"/>
    <n v="778722.48"/>
    <m/>
    <n v="1.7458973531296914E-3"/>
    <n v="0.76234229139964715"/>
    <s v="A"/>
    <s v="X"/>
    <s v="AX"/>
    <s v="Strict Control"/>
    <s v="Daily"/>
    <s v="Strict Replenishment"/>
    <s v="Low"/>
    <n v="40"/>
    <x v="1"/>
  </r>
  <r>
    <s v="ITEM497"/>
    <s v="Valve"/>
    <s v="Finished Goods"/>
    <x v="0"/>
    <n v="508"/>
    <n v="476"/>
    <n v="59"/>
    <n v="30"/>
    <n v="135.41"/>
    <n v="0.11"/>
    <n v="777"/>
    <n v="0.75"/>
    <n v="3"/>
    <n v="15.866666666666667"/>
    <n v="15.866666666666667"/>
    <n v="0.12394957983193278"/>
    <s v="Stable"/>
    <n v="323.15630892804802"/>
    <n v="369.02297559471469"/>
    <n v="138.97702440528531"/>
    <s v=" Risk"/>
    <n v="5712"/>
    <n v="773461.91999999993"/>
    <m/>
    <n v="1.7341031671188032E-3"/>
    <n v="0.7640763945667659"/>
    <s v="A"/>
    <s v="X"/>
    <s v="AX"/>
    <s v="Strict Control"/>
    <s v="Daily"/>
    <s v="Strict Replenishment"/>
    <s v="Low"/>
    <n v="40"/>
    <x v="1"/>
  </r>
  <r>
    <s v="ITEM430"/>
    <s v="Sheet"/>
    <s v="Raw Material"/>
    <x v="4"/>
    <n v="154"/>
    <n v="423"/>
    <n v="12"/>
    <n v="3"/>
    <n v="151.82"/>
    <n v="0.22"/>
    <n v="936"/>
    <n v="0.98"/>
    <n v="5"/>
    <n v="14.1"/>
    <n v="14.1"/>
    <n v="2.8368794326241134E-2"/>
    <s v="Stable"/>
    <n v="20.784609690826528"/>
    <n v="37.88460969082653"/>
    <n v="116.11539030917348"/>
    <s v=" Safe"/>
    <n v="5076"/>
    <n v="770638.32"/>
    <m/>
    <n v="1.7277726502878303E-3"/>
    <n v="0.76580416721705369"/>
    <s v="A"/>
    <s v="X"/>
    <s v="AX"/>
    <s v="Strict Control"/>
    <s v="Daily"/>
    <s v="Strict Replenishment"/>
    <s v="Low"/>
    <n v="50"/>
    <x v="2"/>
  </r>
  <r>
    <s v="ITEM486"/>
    <s v="Valve"/>
    <s v="Raw Material"/>
    <x v="1"/>
    <n v="595"/>
    <n v="474"/>
    <n v="12"/>
    <n v="27"/>
    <n v="135.22"/>
    <n v="0.08"/>
    <n v="421"/>
    <n v="0.93"/>
    <n v="5"/>
    <n v="15.8"/>
    <n v="15.8"/>
    <n v="2.5316455696202531E-2"/>
    <s v="Stable"/>
    <n v="62.353829072479584"/>
    <n v="105.15382907247958"/>
    <n v="489.8461709275204"/>
    <s v=" Safe"/>
    <n v="5688"/>
    <n v="769131.36"/>
    <m/>
    <n v="1.724394042962571E-3"/>
    <n v="0.76752856126001623"/>
    <s v="A"/>
    <s v="X"/>
    <s v="AX"/>
    <s v="Strict Control"/>
    <s v="Daily"/>
    <s v="Strict Replenishment"/>
    <s v="Low"/>
    <n v="50"/>
    <x v="2"/>
  </r>
  <r>
    <s v="ITEM461"/>
    <s v="Sheet"/>
    <s v="Raw Material"/>
    <x v="3"/>
    <n v="63"/>
    <n v="135"/>
    <n v="68"/>
    <n v="20"/>
    <n v="473.31"/>
    <n v="0.22"/>
    <n v="687"/>
    <n v="0.77"/>
    <n v="9"/>
    <n v="4.5"/>
    <n v="4.5"/>
    <n v="0.50370370370370365"/>
    <s v="Highly veriable"/>
    <n v="304.10524493997139"/>
    <n v="328.60524493997139"/>
    <n v="-265.60524493997139"/>
    <s v=" Need to Order"/>
    <n v="1620"/>
    <n v="766762.2"/>
    <m/>
    <n v="1.7190823815178662E-3"/>
    <n v="0.76924764364153408"/>
    <s v="A"/>
    <s v="Z"/>
    <s v="AZ"/>
    <s v="Risk-Control Strategy"/>
    <s v="Daily + Manager Review"/>
    <s v="Increase Safety Stock"/>
    <s v="Critical"/>
    <n v="80"/>
    <x v="3"/>
  </r>
  <r>
    <s v="ITEM419"/>
    <s v="Valve"/>
    <s v="Raw Material"/>
    <x v="3"/>
    <n v="980"/>
    <n v="261"/>
    <n v="45"/>
    <n v="26"/>
    <n v="244.76"/>
    <n v="0.22"/>
    <n v="647"/>
    <n v="0.82"/>
    <n v="9"/>
    <n v="8.6999999999999993"/>
    <n v="8.6999999999999993"/>
    <n v="0.17241379310344829"/>
    <s v="Stable"/>
    <n v="229.4558781116753"/>
    <n v="264.15587811167529"/>
    <n v="715.84412188832471"/>
    <s v=" Safe"/>
    <n v="3132"/>
    <n v="766588.32"/>
    <m/>
    <n v="1.7186925422111056E-3"/>
    <n v="0.77096633618374522"/>
    <s v="A"/>
    <s v="X"/>
    <s v="AX"/>
    <s v="Strict Control"/>
    <s v="Daily"/>
    <s v="Strict Replenishment"/>
    <s v="Low"/>
    <n v="60"/>
    <x v="0"/>
  </r>
  <r>
    <s v="ITEM434"/>
    <s v="Pipe A"/>
    <s v="Raw Material"/>
    <x v="4"/>
    <n v="143"/>
    <n v="236"/>
    <n v="30"/>
    <n v="17"/>
    <n v="269.77"/>
    <n v="0.21"/>
    <n v="886"/>
    <n v="0.92"/>
    <n v="10"/>
    <n v="7.8666666666666663"/>
    <n v="7.8666666666666663"/>
    <n v="0.1271186440677966"/>
    <s v="Stable"/>
    <n v="123.69316876852982"/>
    <n v="148.55983543519648"/>
    <n v="-5.5598354351964758"/>
    <s v=" Need to Order"/>
    <n v="2832"/>
    <n v="763988.6399999999"/>
    <m/>
    <n v="1.7128640544666856E-3"/>
    <n v="0.77267920023821191"/>
    <s v="A"/>
    <s v="X"/>
    <s v="AX"/>
    <s v="Strict Control"/>
    <s v="Daily"/>
    <s v="Strict Replenishment"/>
    <s v="Low"/>
    <n v="60"/>
    <x v="0"/>
  </r>
  <r>
    <s v="ITEM163"/>
    <s v="Pipe B"/>
    <s v="Finished Goods"/>
    <x v="0"/>
    <n v="162"/>
    <n v="412"/>
    <n v="81"/>
    <n v="29"/>
    <n v="154.44999999999999"/>
    <n v="0.09"/>
    <n v="944"/>
    <n v="0.97"/>
    <n v="2"/>
    <n v="13.733333333333333"/>
    <n v="13.733333333333333"/>
    <n v="0.19660194174757281"/>
    <s v="Stable"/>
    <n v="436.19834937789483"/>
    <n v="478.93168271122818"/>
    <n v="-316.93168271122818"/>
    <s v=" Need to Order"/>
    <n v="4944"/>
    <n v="763600.79999999993"/>
    <m/>
    <n v="1.7119945164132345E-3"/>
    <n v="0.77439119475462515"/>
    <s v="A"/>
    <s v="X"/>
    <s v="AX"/>
    <s v="Strict Control"/>
    <s v="Daily"/>
    <s v="Strict Replenishment"/>
    <s v="Low"/>
    <n v="40"/>
    <x v="1"/>
  </r>
  <r>
    <s v="ITEM348"/>
    <s v="Rod"/>
    <s v="Raw Material"/>
    <x v="2"/>
    <n v="896"/>
    <n v="396"/>
    <n v="18"/>
    <n v="26"/>
    <n v="160.5"/>
    <n v="7.0000000000000007E-2"/>
    <n v="754"/>
    <n v="0.72"/>
    <n v="6"/>
    <n v="13.2"/>
    <n v="13.2"/>
    <n v="4.5454545454545456E-2"/>
    <s v="Stable"/>
    <n v="91.782351244670124"/>
    <n v="130.98235124467013"/>
    <n v="765.0176487553299"/>
    <s v=" Safe"/>
    <n v="4752"/>
    <n v="762696"/>
    <m/>
    <n v="1.7099659530088345E-3"/>
    <n v="0.77610116070763402"/>
    <s v="A"/>
    <s v="X"/>
    <s v="AX"/>
    <s v="Strict Control"/>
    <s v="Daily"/>
    <s v="Strict Replenishment"/>
    <s v="Low"/>
    <n v="50"/>
    <x v="2"/>
  </r>
  <r>
    <s v="ITEM359"/>
    <s v="Connector"/>
    <s v="Raw Material"/>
    <x v="0"/>
    <n v="578"/>
    <n v="171"/>
    <n v="89"/>
    <n v="25"/>
    <n v="367.39"/>
    <n v="7.0000000000000007E-2"/>
    <n v="358"/>
    <n v="0.9"/>
    <n v="2"/>
    <n v="5.7"/>
    <n v="5.7"/>
    <n v="0.52046783625730997"/>
    <s v="Highly veriable"/>
    <n v="445"/>
    <n v="475.7"/>
    <n v="102.30000000000001"/>
    <s v=" Risk"/>
    <n v="2052"/>
    <n v="753884.28"/>
    <m/>
    <n v="1.6902100591960349E-3"/>
    <n v="0.77779137076683003"/>
    <s v="A"/>
    <s v="Z"/>
    <s v="AZ"/>
    <s v="Risk-Control Strategy"/>
    <s v="Daily + Manager Review"/>
    <s v="Increase Safety Stock"/>
    <s v="Critical"/>
    <n v="60"/>
    <x v="0"/>
  </r>
  <r>
    <s v="ITEM103"/>
    <s v="Tube"/>
    <s v="Finished Goods"/>
    <x v="0"/>
    <n v="406"/>
    <n v="301"/>
    <n v="43"/>
    <n v="9"/>
    <n v="207.75"/>
    <n v="0.06"/>
    <n v="514"/>
    <n v="0.94"/>
    <n v="5"/>
    <n v="10.033333333333333"/>
    <n v="10.033333333333333"/>
    <n v="0.14285714285714285"/>
    <s v="Stable"/>
    <n v="129"/>
    <n v="148.03333333333333"/>
    <n v="257.9666666666667"/>
    <s v=" Safe"/>
    <n v="3612"/>
    <n v="750393"/>
    <m/>
    <n v="1.682382602473539E-3"/>
    <n v="0.77947375336930358"/>
    <s v="A"/>
    <s v="X"/>
    <s v="AX"/>
    <s v="Strict Control"/>
    <s v="Daily"/>
    <s v="Strict Replenishment"/>
    <s v="Low"/>
    <n v="50"/>
    <x v="2"/>
  </r>
  <r>
    <s v="ITEM460"/>
    <s v="Connector"/>
    <s v="Raw Material"/>
    <x v="3"/>
    <n v="617"/>
    <n v="244"/>
    <n v="66"/>
    <n v="7"/>
    <n v="255.27"/>
    <n v="0.06"/>
    <n v="397"/>
    <n v="0.75"/>
    <n v="8"/>
    <n v="8.1333333333333329"/>
    <n v="8.1333333333333329"/>
    <n v="0.27049180327868855"/>
    <s v="Moderate"/>
    <n v="174.61958653026298"/>
    <n v="189.7529198635963"/>
    <n v="427.24708013640372"/>
    <s v=" Safe"/>
    <n v="2928"/>
    <n v="747430.56"/>
    <m/>
    <n v="1.6757408060856841E-3"/>
    <n v="0.78114949417538926"/>
    <s v="A"/>
    <s v="Y"/>
    <s v="AY"/>
    <s v="Frequent Monitoring"/>
    <s v="Every 2 Days"/>
    <s v="Frequent Monitoring"/>
    <s v="High"/>
    <n v="70"/>
    <x v="3"/>
  </r>
  <r>
    <s v="ITEM198"/>
    <s v="Valve"/>
    <s v="Finished Goods"/>
    <x v="3"/>
    <n v="354"/>
    <n v="169"/>
    <n v="21"/>
    <n v="21"/>
    <n v="368.33"/>
    <n v="0.23"/>
    <n v="768"/>
    <n v="0.74"/>
    <n v="4"/>
    <n v="5.6333333333333337"/>
    <n v="5.6333333333333337"/>
    <n v="0.1242603550295858"/>
    <s v="Stable"/>
    <n v="96.234089594072643"/>
    <n v="122.86742292740598"/>
    <n v="231.13257707259402"/>
    <s v=" Safe"/>
    <n v="2028"/>
    <n v="746973.24"/>
    <m/>
    <n v="1.6747154937336722E-3"/>
    <n v="0.78282420966912292"/>
    <s v="A"/>
    <s v="X"/>
    <s v="AX"/>
    <s v="Strict Control"/>
    <s v="Daily"/>
    <s v="Strict Replenishment"/>
    <s v="Low"/>
    <n v="40"/>
    <x v="1"/>
  </r>
  <r>
    <s v="ITEM321"/>
    <s v="Tube"/>
    <s v="Finished Goods"/>
    <x v="2"/>
    <n v="439"/>
    <n v="383"/>
    <n v="20"/>
    <n v="22"/>
    <n v="162.09"/>
    <n v="0.22"/>
    <n v="316"/>
    <n v="0.83"/>
    <n v="1"/>
    <n v="12.766666666666667"/>
    <n v="12.766666666666667"/>
    <n v="5.2219321148825062E-2"/>
    <s v="Stable"/>
    <n v="93.808315196468598"/>
    <n v="128.57498186313526"/>
    <n v="310.42501813686476"/>
    <s v=" Safe"/>
    <n v="4596"/>
    <n v="744965.64"/>
    <m/>
    <n v="1.6702144505300097E-3"/>
    <n v="0.78449442411965298"/>
    <s v="A"/>
    <s v="X"/>
    <s v="AX"/>
    <s v="Strict Control"/>
    <s v="Daily"/>
    <s v="Strict Replenishment"/>
    <s v="Low"/>
    <n v="40"/>
    <x v="1"/>
  </r>
  <r>
    <s v="ITEM313"/>
    <s v="Flange"/>
    <s v="Raw Material"/>
    <x v="4"/>
    <n v="939"/>
    <n v="495"/>
    <n v="40"/>
    <n v="11"/>
    <n v="125.02"/>
    <n v="0.1"/>
    <n v="855"/>
    <n v="0.71"/>
    <n v="8"/>
    <n v="16.5"/>
    <n v="16.5"/>
    <n v="8.0808080808080815E-2"/>
    <s v="Stable"/>
    <n v="132.66499161421598"/>
    <n v="160.16499161421598"/>
    <n v="778.83500838578402"/>
    <s v=" Safe"/>
    <n v="5940"/>
    <n v="742618.79999999993"/>
    <m/>
    <n v="1.6649528305698168E-3"/>
    <n v="0.78615937695022275"/>
    <s v="A"/>
    <s v="X"/>
    <s v="AX"/>
    <s v="Strict Control"/>
    <s v="Daily"/>
    <s v="Strict Replenishment"/>
    <s v="Low"/>
    <n v="60"/>
    <x v="0"/>
  </r>
  <r>
    <s v="ITEM311"/>
    <s v="Tube"/>
    <s v="Finished Goods"/>
    <x v="0"/>
    <n v="594"/>
    <n v="137"/>
    <n v="93"/>
    <n v="19"/>
    <n v="449.94"/>
    <n v="0.19"/>
    <n v="311"/>
    <n v="0.85"/>
    <n v="8"/>
    <n v="4.5666666666666664"/>
    <n v="4.5666666666666664"/>
    <n v="0.67883211678832112"/>
    <s v="Highly veriable"/>
    <n v="405.37760174928269"/>
    <n v="428.94426841594935"/>
    <n v="165.05573158405065"/>
    <s v=" Risk"/>
    <n v="1644"/>
    <n v="739701.36"/>
    <m/>
    <n v="1.6584119242717033E-3"/>
    <n v="0.7878177888744945"/>
    <s v="A"/>
    <s v="Z"/>
    <s v="AZ"/>
    <s v="Risk-Control Strategy"/>
    <s v="Daily + Manager Review"/>
    <s v="Increase Safety Stock"/>
    <s v="Critical"/>
    <n v="80"/>
    <x v="3"/>
  </r>
  <r>
    <s v="ITEM275"/>
    <s v="Rod"/>
    <s v="Finished Goods"/>
    <x v="0"/>
    <n v="0"/>
    <n v="204"/>
    <n v="91"/>
    <n v="27"/>
    <n v="298.83"/>
    <n v="0.24"/>
    <n v="412"/>
    <n v="0.71"/>
    <n v="5"/>
    <n v="6.8"/>
    <n v="6.8"/>
    <n v="0.44607843137254904"/>
    <s v="Moderate"/>
    <n v="472.84987046630351"/>
    <n v="506.64987046630353"/>
    <n v="-506.64987046630353"/>
    <s v=" Need to Order"/>
    <n v="2448"/>
    <n v="731535.84"/>
    <m/>
    <n v="1.6401048121475899E-3"/>
    <n v="0.7894578936866421"/>
    <s v="A"/>
    <s v="Y"/>
    <s v="AY"/>
    <s v="Frequent Monitoring"/>
    <s v="Every 2 Days"/>
    <s v="Frequent Monitoring"/>
    <s v="High"/>
    <n v="60"/>
    <x v="0"/>
  </r>
  <r>
    <s v="ITEM195"/>
    <s v="Tube"/>
    <s v="Finished Goods"/>
    <x v="1"/>
    <n v="613"/>
    <n v="222"/>
    <n v="97"/>
    <n v="12"/>
    <n v="274.38"/>
    <n v="0.17"/>
    <n v="258"/>
    <n v="0.85"/>
    <n v="3"/>
    <n v="7.4"/>
    <n v="7.4"/>
    <n v="0.43693693693693691"/>
    <s v="Moderate"/>
    <n v="336.01785666836219"/>
    <n v="355.41785666836216"/>
    <n v="257.58214333163784"/>
    <s v=" Risk"/>
    <n v="2664"/>
    <n v="730948.32"/>
    <m/>
    <n v="1.6387875911359263E-3"/>
    <n v="0.79109668127777799"/>
    <s v="A"/>
    <s v="Y"/>
    <s v="AY"/>
    <s v="Frequent Monitoring"/>
    <s v="Every 2 Days"/>
    <s v="Frequent Monitoring"/>
    <s v="High"/>
    <n v="50"/>
    <x v="2"/>
  </r>
  <r>
    <s v="ITEM468"/>
    <s v="Rod"/>
    <s v="Raw Material"/>
    <x v="3"/>
    <n v="575"/>
    <n v="123"/>
    <n v="86"/>
    <n v="12"/>
    <n v="483.87"/>
    <n v="0.24"/>
    <n v="972"/>
    <n v="0.76"/>
    <n v="5"/>
    <n v="4.0999999999999996"/>
    <n v="4.0999999999999996"/>
    <n v="0.69918699186991873"/>
    <s v="Highly veriable"/>
    <n v="297.91273890184686"/>
    <n v="314.01273890184689"/>
    <n v="260.98726109815311"/>
    <s v=" Risk"/>
    <n v="1476"/>
    <n v="714192.12"/>
    <m/>
    <n v="1.6012201573198232E-3"/>
    <n v="0.79269790143509777"/>
    <s v="A"/>
    <s v="Z"/>
    <s v="AZ"/>
    <s v="Risk-Control Strategy"/>
    <s v="Daily + Manager Review"/>
    <s v="Increase Safety Stock"/>
    <s v="Critical"/>
    <n v="70"/>
    <x v="3"/>
  </r>
  <r>
    <s v="ITEM383"/>
    <s v="Valve"/>
    <s v="Finished Goods"/>
    <x v="0"/>
    <n v="596"/>
    <n v="269"/>
    <n v="25"/>
    <n v="24"/>
    <n v="221.23"/>
    <n v="0.09"/>
    <n v="853"/>
    <n v="0.8"/>
    <n v="2"/>
    <n v="8.9666666666666668"/>
    <n v="8.9666666666666668"/>
    <n v="9.2936802973977689E-2"/>
    <s v="Stable"/>
    <n v="122.4744871391589"/>
    <n v="155.44115380582556"/>
    <n v="440.55884619417441"/>
    <s v=" Safe"/>
    <n v="3228"/>
    <n v="714130.44"/>
    <m/>
    <n v="1.6010818706368177E-3"/>
    <n v="0.79429898330573456"/>
    <s v="A"/>
    <s v="X"/>
    <s v="AX"/>
    <s v="Strict Control"/>
    <s v="Daily"/>
    <s v="Strict Replenishment"/>
    <s v="Low"/>
    <n v="40"/>
    <x v="1"/>
  </r>
  <r>
    <s v="ITEM249"/>
    <s v="Rod"/>
    <s v="Raw Material"/>
    <x v="3"/>
    <n v="150"/>
    <n v="214"/>
    <n v="69"/>
    <n v="26"/>
    <n v="276.66000000000003"/>
    <n v="0.12"/>
    <n v="647"/>
    <n v="0.94"/>
    <n v="4"/>
    <n v="7.1333333333333337"/>
    <n v="7.1333333333333337"/>
    <n v="0.32242990654205606"/>
    <s v="Moderate"/>
    <n v="351.83234643790212"/>
    <n v="384.96567977123544"/>
    <n v="-234.96567977123544"/>
    <s v=" Need to Order"/>
    <n v="2568"/>
    <n v="710462.88000000012"/>
    <m/>
    <n v="1.5928591938027753E-3"/>
    <n v="0.79589184249953737"/>
    <s v="A"/>
    <s v="Y"/>
    <s v="AY"/>
    <s v="Frequent Monitoring"/>
    <s v="Every 2 Days"/>
    <s v="Frequent Monitoring"/>
    <s v="High"/>
    <n v="50"/>
    <x v="2"/>
  </r>
  <r>
    <s v="ITEM307"/>
    <s v="Flange"/>
    <s v="Raw Material"/>
    <x v="2"/>
    <n v="685"/>
    <n v="368"/>
    <n v="40"/>
    <n v="8"/>
    <n v="158.97999999999999"/>
    <n v="0.17"/>
    <n v="434"/>
    <n v="0.87"/>
    <n v="10"/>
    <n v="12.266666666666667"/>
    <n v="12.266666666666667"/>
    <n v="0.10869565217391304"/>
    <s v="Stable"/>
    <n v="113.13708498984761"/>
    <n v="133.40375165651426"/>
    <n v="551.59624834348574"/>
    <s v=" Safe"/>
    <n v="4416"/>
    <n v="702055.67999999993"/>
    <m/>
    <n v="1.5740102346366905E-3"/>
    <n v="0.79746585273417403"/>
    <s v="A"/>
    <s v="X"/>
    <s v="AX"/>
    <s v="Strict Control"/>
    <s v="Daily"/>
    <s v="Strict Replenishment"/>
    <s v="Low"/>
    <n v="60"/>
    <x v="0"/>
  </r>
  <r>
    <s v="ITEM261"/>
    <s v="Flange"/>
    <s v="Raw Material"/>
    <x v="0"/>
    <n v="6"/>
    <n v="159"/>
    <n v="47"/>
    <n v="1"/>
    <n v="366.61"/>
    <n v="0.09"/>
    <n v="160"/>
    <n v="0.73"/>
    <n v="3"/>
    <n v="5.3"/>
    <n v="5.3"/>
    <n v="0.29559748427672955"/>
    <s v="Moderate"/>
    <n v="47"/>
    <n v="53.3"/>
    <n v="-47.3"/>
    <s v=" Need to Order"/>
    <n v="1908"/>
    <n v="699491.88"/>
    <m/>
    <n v="1.5682621899238247E-3"/>
    <n v="0.79903411492409782"/>
    <s v="A"/>
    <s v="Y"/>
    <s v="AY"/>
    <s v="Frequent Monitoring"/>
    <s v="Every 2 Days"/>
    <s v="Frequent Monitoring"/>
    <s v="High"/>
    <n v="50"/>
    <x v="2"/>
  </r>
  <r>
    <s v="ITEM410"/>
    <s v="Rod"/>
    <s v="Raw Material"/>
    <x v="3"/>
    <n v="819"/>
    <n v="231"/>
    <n v="46"/>
    <n v="26"/>
    <n v="252.19"/>
    <n v="0.23"/>
    <n v="242"/>
    <n v="0.91"/>
    <n v="1"/>
    <n v="7.7"/>
    <n v="7.7"/>
    <n v="0.19913419913419914"/>
    <s v="Stable"/>
    <n v="234.5548976252681"/>
    <n v="268.25489762526809"/>
    <n v="550.74510237473191"/>
    <s v=" Safe"/>
    <n v="2772"/>
    <n v="699070.68"/>
    <m/>
    <n v="1.5673178586838453E-3"/>
    <n v="0.80060143278278162"/>
    <s v="B"/>
    <s v="X"/>
    <s v="BX"/>
    <s v="Standard Control"/>
    <s v="Weekly"/>
    <s v="Standard Replenishment"/>
    <s v="Low"/>
    <n v="30"/>
    <x v="1"/>
  </r>
  <r>
    <s v="ITEM408"/>
    <s v="Valve"/>
    <s v="Finished Goods"/>
    <x v="4"/>
    <n v="343"/>
    <n v="464"/>
    <n v="99"/>
    <n v="6"/>
    <n v="124.64"/>
    <n v="0.22"/>
    <n v="173"/>
    <n v="0.85"/>
    <n v="6"/>
    <n v="15.466666666666667"/>
    <n v="15.466666666666667"/>
    <n v="0.21336206896551724"/>
    <s v="Moderate"/>
    <n v="242.49948453553461"/>
    <n v="263.96615120220127"/>
    <n v="79.033848797798726"/>
    <s v=" Risk"/>
    <n v="5568"/>
    <n v="693995.52000000002"/>
    <m/>
    <n v="1.5559393398426919E-3"/>
    <n v="0.80215737212262428"/>
    <s v="B"/>
    <s v="Y"/>
    <s v="BY"/>
    <s v="Periodic Review"/>
    <s v="Bi-Weekly"/>
    <s v="Periodic Review"/>
    <s v="Low"/>
    <n v="40"/>
    <x v="1"/>
  </r>
  <r>
    <s v="ITEM417"/>
    <s v="Pipe B"/>
    <s v="Finished Goods"/>
    <x v="1"/>
    <n v="804"/>
    <n v="200"/>
    <n v="18"/>
    <n v="19"/>
    <n v="286.88"/>
    <n v="0.2"/>
    <n v="918"/>
    <n v="0.91"/>
    <n v="4"/>
    <n v="6.666666666666667"/>
    <n v="6.666666666666667"/>
    <n v="0.09"/>
    <s v="Stable"/>
    <n v="78.46018098373213"/>
    <n v="104.1268476503988"/>
    <n v="699.87315234960124"/>
    <s v=" Safe"/>
    <n v="2400"/>
    <n v="688512"/>
    <m/>
    <n v="1.5436452770671652E-3"/>
    <n v="0.80370101739969146"/>
    <s v="B"/>
    <s v="X"/>
    <s v="BX"/>
    <s v="Standard Control"/>
    <s v="Weekly"/>
    <s v="Standard Replenishment"/>
    <s v="Low"/>
    <n v="30"/>
    <x v="1"/>
  </r>
  <r>
    <s v="ITEM409"/>
    <s v="Pipe A"/>
    <s v="Raw Material"/>
    <x v="0"/>
    <n v="402"/>
    <n v="211"/>
    <n v="81"/>
    <n v="24"/>
    <n v="271.47000000000003"/>
    <n v="0.18"/>
    <n v="241"/>
    <n v="0.78"/>
    <n v="9"/>
    <n v="7.0333333333333332"/>
    <n v="7.0333333333333332"/>
    <n v="0.38388625592417064"/>
    <s v="Moderate"/>
    <n v="396.8173383308748"/>
    <n v="427.85067166420811"/>
    <n v="-25.850671664208107"/>
    <s v=" Need to Order"/>
    <n v="2532"/>
    <n v="687362.04"/>
    <m/>
    <n v="1.5410670644538541E-3"/>
    <n v="0.80524208446414536"/>
    <s v="B"/>
    <s v="Y"/>
    <s v="BY"/>
    <s v="Periodic Review"/>
    <s v="Bi-Weekly"/>
    <s v="Periodic Review"/>
    <s v="Low"/>
    <n v="50"/>
    <x v="2"/>
  </r>
  <r>
    <s v="ITEM302"/>
    <s v="Valve"/>
    <s v="Finished Goods"/>
    <x v="1"/>
    <n v="774"/>
    <n v="222"/>
    <n v="45"/>
    <n v="25"/>
    <n v="255.24"/>
    <n v="0.08"/>
    <n v="833"/>
    <n v="0.74"/>
    <n v="5"/>
    <n v="7.4"/>
    <n v="7.4"/>
    <n v="0.20270270270270271"/>
    <s v="Moderate"/>
    <n v="225"/>
    <n v="257.39999999999998"/>
    <n v="516.6"/>
    <s v=" Safe"/>
    <n v="2664"/>
    <n v="679959.36"/>
    <m/>
    <n v="1.5244702411310368E-3"/>
    <n v="0.80676655470527636"/>
    <s v="B"/>
    <s v="Y"/>
    <s v="BY"/>
    <s v="Periodic Review"/>
    <s v="Bi-Weekly"/>
    <s v="Periodic Review"/>
    <s v="Low"/>
    <n v="40"/>
    <x v="1"/>
  </r>
  <r>
    <s v="ITEM191"/>
    <s v="Rod"/>
    <s v="Finished Goods"/>
    <x v="0"/>
    <n v="153"/>
    <n v="349"/>
    <n v="9"/>
    <n v="6"/>
    <n v="161.26"/>
    <n v="0.1"/>
    <n v="399"/>
    <n v="0.82"/>
    <n v="2"/>
    <n v="11.633333333333333"/>
    <n v="11.633333333333333"/>
    <n v="2.5787965616045846E-2"/>
    <s v="Stable"/>
    <n v="22.045407685048602"/>
    <n v="39.678741018381935"/>
    <n v="113.32125898161806"/>
    <s v=" Safe"/>
    <n v="4188"/>
    <n v="675356.88"/>
    <m/>
    <n v="1.514151471792527E-3"/>
    <n v="0.80828070617706893"/>
    <s v="B"/>
    <s v="X"/>
    <s v="BX"/>
    <s v="Standard Control"/>
    <s v="Weekly"/>
    <s v="Standard Replenishment"/>
    <s v="Low"/>
    <n v="30"/>
    <x v="1"/>
  </r>
  <r>
    <s v="ITEM305"/>
    <s v="Rod"/>
    <s v="Finished Goods"/>
    <x v="2"/>
    <n v="840"/>
    <n v="307"/>
    <n v="6"/>
    <n v="29"/>
    <n v="182.92"/>
    <n v="0.12"/>
    <n v="244"/>
    <n v="0.78"/>
    <n v="2"/>
    <n v="10.233333333333333"/>
    <n v="10.233333333333333"/>
    <n v="1.9543973941368076E-2"/>
    <s v="Stable"/>
    <n v="32.310988842807021"/>
    <n v="71.544322176140355"/>
    <n v="768.45567782385967"/>
    <s v=" Safe"/>
    <n v="3684"/>
    <n v="673877.27999999991"/>
    <m/>
    <n v="1.5108342056418299E-3"/>
    <n v="0.80979154038271073"/>
    <s v="B"/>
    <s v="X"/>
    <s v="BX"/>
    <s v="Standard Control"/>
    <s v="Weekly"/>
    <s v="Standard Replenishment"/>
    <s v="Low"/>
    <n v="30"/>
    <x v="1"/>
  </r>
  <r>
    <s v="ITEM456"/>
    <s v="Sheet"/>
    <s v="Raw Material"/>
    <x v="2"/>
    <n v="599"/>
    <n v="298"/>
    <n v="78"/>
    <n v="24"/>
    <n v="188.18"/>
    <n v="0.23"/>
    <n v="810"/>
    <n v="0.99"/>
    <n v="1"/>
    <n v="9.9333333333333336"/>
    <n v="9.9333333333333336"/>
    <n v="0.26174496644295303"/>
    <s v="Moderate"/>
    <n v="382.12039987417575"/>
    <n v="416.05373320750908"/>
    <n v="182.94626679249092"/>
    <s v=" Risk"/>
    <n v="3576"/>
    <n v="672931.68"/>
    <m/>
    <n v="1.5087141685560645E-3"/>
    <n v="0.81130025455126675"/>
    <s v="B"/>
    <s v="Y"/>
    <s v="BY"/>
    <s v="Periodic Review"/>
    <s v="Bi-Weekly"/>
    <s v="Periodic Review"/>
    <s v="Low"/>
    <n v="30"/>
    <x v="1"/>
  </r>
  <r>
    <s v="ITEM323"/>
    <s v="Pipe A"/>
    <s v="Raw Material"/>
    <x v="4"/>
    <n v="135"/>
    <n v="342"/>
    <n v="43"/>
    <n v="16"/>
    <n v="163.80000000000001"/>
    <n v="0.05"/>
    <n v="919"/>
    <n v="0.79"/>
    <n v="9"/>
    <n v="11.4"/>
    <n v="11.4"/>
    <n v="0.12573099415204678"/>
    <s v="Stable"/>
    <n v="172"/>
    <n v="199.4"/>
    <n v="-64.400000000000006"/>
    <s v=" Need to Order"/>
    <n v="4104"/>
    <n v="672235.20000000007"/>
    <m/>
    <n v="1.5071526590071072E-3"/>
    <n v="0.81280740721027389"/>
    <s v="B"/>
    <s v="X"/>
    <s v="BX"/>
    <s v="Standard Control"/>
    <s v="Weekly"/>
    <s v="Standard Replenishment"/>
    <s v="Low"/>
    <n v="50"/>
    <x v="2"/>
  </r>
  <r>
    <s v="ITEM253"/>
    <s v="Rod"/>
    <s v="Raw Material"/>
    <x v="0"/>
    <n v="747"/>
    <n v="322"/>
    <n v="68"/>
    <n v="21"/>
    <n v="173.01"/>
    <n v="0.13"/>
    <n v="951"/>
    <n v="0.94"/>
    <n v="10"/>
    <n v="10.733333333333333"/>
    <n v="10.733333333333333"/>
    <n v="0.21118012422360249"/>
    <s v="Moderate"/>
    <n v="311.61514725699709"/>
    <n v="343.34848059033044"/>
    <n v="403.65151940966956"/>
    <s v=" Safe"/>
    <n v="3864"/>
    <n v="668510.64"/>
    <m/>
    <n v="1.4988021880593919E-3"/>
    <n v="0.81430620939833331"/>
    <s v="B"/>
    <s v="Y"/>
    <s v="BY"/>
    <s v="Periodic Review"/>
    <s v="Bi-Weekly"/>
    <s v="Periodic Review"/>
    <s v="Low"/>
    <n v="50"/>
    <x v="2"/>
  </r>
  <r>
    <s v="ITEM087"/>
    <s v="Connector"/>
    <s v="Finished Goods"/>
    <x v="4"/>
    <n v="299"/>
    <n v="231"/>
    <n v="86"/>
    <n v="1"/>
    <n v="238.95"/>
    <n v="0.09"/>
    <n v="347"/>
    <n v="0.8"/>
    <n v="10"/>
    <n v="7.7"/>
    <n v="7.7"/>
    <n v="0.37229437229437229"/>
    <s v="Moderate"/>
    <n v="86"/>
    <n v="94.7"/>
    <n v="204.3"/>
    <s v=" Safe"/>
    <n v="2772"/>
    <n v="662369.4"/>
    <m/>
    <n v="1.4850335157322052E-3"/>
    <n v="0.81579124291406557"/>
    <s v="B"/>
    <s v="Y"/>
    <s v="BY"/>
    <s v="Periodic Review"/>
    <s v="Bi-Weekly"/>
    <s v="Periodic Review"/>
    <s v="Low"/>
    <n v="50"/>
    <x v="2"/>
  </r>
  <r>
    <s v="ITEM110"/>
    <s v="Rod"/>
    <s v="Raw Material"/>
    <x v="4"/>
    <n v="823"/>
    <n v="449"/>
    <n v="85"/>
    <n v="22"/>
    <n v="122.32"/>
    <n v="0.19"/>
    <n v="821"/>
    <n v="0.95"/>
    <n v="2"/>
    <n v="14.966666666666667"/>
    <n v="14.966666666666667"/>
    <n v="0.18930957683741648"/>
    <s v="Stable"/>
    <n v="398.68533958499154"/>
    <n v="435.65200625165824"/>
    <n v="387.34799374834176"/>
    <s v=" Risk"/>
    <n v="5388"/>
    <n v="659060.15999999992"/>
    <m/>
    <n v="1.477614193052743E-3"/>
    <n v="0.81726885710711827"/>
    <s v="B"/>
    <s v="X"/>
    <s v="BX"/>
    <s v="Standard Control"/>
    <s v="Weekly"/>
    <s v="Standard Replenishment"/>
    <s v="Low"/>
    <n v="30"/>
    <x v="1"/>
  </r>
  <r>
    <s v="ITEM014"/>
    <s v="Valve"/>
    <s v="Finished Goods"/>
    <x v="1"/>
    <n v="920"/>
    <n v="150"/>
    <n v="88"/>
    <n v="1"/>
    <n v="363.85"/>
    <n v="0.24"/>
    <n v="221"/>
    <n v="0.87"/>
    <n v="9"/>
    <n v="5"/>
    <n v="5"/>
    <n v="0.58666666666666667"/>
    <s v="Highly veriable"/>
    <n v="88"/>
    <n v="94"/>
    <n v="826"/>
    <s v=" Safe"/>
    <n v="1800"/>
    <n v="654930"/>
    <m/>
    <n v="1.4683543660961589E-3"/>
    <n v="0.81873721147321443"/>
    <s v="B"/>
    <s v="Z"/>
    <s v="BZ"/>
    <s v="Risk Monitoring"/>
    <s v="Weekly Risk Review"/>
    <s v="Monitor Demand Variability"/>
    <s v="Medium"/>
    <n v="50"/>
    <x v="2"/>
  </r>
  <r>
    <s v="ITEM042"/>
    <s v="Pipe B"/>
    <s v="Raw Material"/>
    <x v="4"/>
    <n v="759"/>
    <n v="198"/>
    <n v="29"/>
    <n v="2"/>
    <n v="274.33999999999997"/>
    <n v="0.18"/>
    <n v="745"/>
    <n v="0.9"/>
    <n v="1"/>
    <n v="6.6"/>
    <n v="6.6"/>
    <n v="0.14646464646464646"/>
    <s v="Stable"/>
    <n v="41.012193308819761"/>
    <n v="49.612193308819762"/>
    <n v="709.38780669118023"/>
    <s v=" Safe"/>
    <n v="2376"/>
    <n v="651831.84"/>
    <m/>
    <n v="1.4614082851976437E-3"/>
    <n v="0.82019861975841213"/>
    <s v="B"/>
    <s v="X"/>
    <s v="BX"/>
    <s v="Standard Control"/>
    <s v="Weekly"/>
    <s v="Standard Replenishment"/>
    <s v="Low"/>
    <n v="30"/>
    <x v="1"/>
  </r>
  <r>
    <s v="ITEM116"/>
    <s v="Sheet"/>
    <s v="Finished Goods"/>
    <x v="2"/>
    <n v="456"/>
    <n v="147"/>
    <n v="69"/>
    <n v="12"/>
    <n v="368.19"/>
    <n v="0.08"/>
    <n v="281"/>
    <n v="0.72"/>
    <n v="8"/>
    <n v="4.9000000000000004"/>
    <n v="4.9000000000000004"/>
    <n v="0.46938775510204084"/>
    <s v="Moderate"/>
    <n v="239.02301144450504"/>
    <n v="255.92301144450505"/>
    <n v="200.07698855549495"/>
    <s v=" Risk"/>
    <n v="1764"/>
    <n v="649487.16"/>
    <m/>
    <n v="1.4561515079617585E-3"/>
    <n v="0.82165477126637387"/>
    <s v="B"/>
    <s v="Y"/>
    <s v="BY"/>
    <s v="Periodic Review"/>
    <s v="Bi-Weekly"/>
    <s v="Periodic Review"/>
    <s v="Low"/>
    <n v="50"/>
    <x v="2"/>
  </r>
  <r>
    <s v="ITEM105"/>
    <s v="Tube"/>
    <s v="Raw Material"/>
    <x v="4"/>
    <n v="373"/>
    <n v="208"/>
    <n v="47"/>
    <n v="26"/>
    <n v="259.41000000000003"/>
    <n v="0.2"/>
    <n v="448"/>
    <n v="0.95"/>
    <n v="3"/>
    <n v="6.9333333333333336"/>
    <n v="6.9333333333333336"/>
    <n v="0.22596153846153846"/>
    <s v="Moderate"/>
    <n v="239.65391713886086"/>
    <n v="272.58725047219423"/>
    <n v="100.41274952780577"/>
    <s v=" Risk"/>
    <n v="2496"/>
    <n v="647487.3600000001"/>
    <m/>
    <n v="1.4516679523736515E-3"/>
    <n v="0.82310643921874749"/>
    <s v="B"/>
    <s v="Y"/>
    <s v="BY"/>
    <s v="Periodic Review"/>
    <s v="Bi-Weekly"/>
    <s v="Periodic Review"/>
    <s v="Low"/>
    <n v="30"/>
    <x v="1"/>
  </r>
  <r>
    <s v="ITEM050"/>
    <s v="Flange"/>
    <s v="Raw Material"/>
    <x v="4"/>
    <n v="788"/>
    <n v="188"/>
    <n v="51"/>
    <n v="9"/>
    <n v="285.04000000000002"/>
    <n v="0.16"/>
    <n v="606"/>
    <n v="0.8"/>
    <n v="9"/>
    <n v="6.2666666666666666"/>
    <n v="6.2666666666666666"/>
    <n v="0.27127659574468083"/>
    <s v="Moderate"/>
    <n v="153"/>
    <n v="168.26666666666665"/>
    <n v="619.73333333333335"/>
    <s v=" Safe"/>
    <n v="2256"/>
    <n v="643050.23999999999"/>
    <m/>
    <n v="1.4417199204849111E-3"/>
    <n v="0.82454815913923241"/>
    <s v="B"/>
    <s v="Y"/>
    <s v="BY"/>
    <s v="Periodic Review"/>
    <s v="Bi-Weekly"/>
    <s v="Periodic Review"/>
    <s v="Low"/>
    <n v="50"/>
    <x v="2"/>
  </r>
  <r>
    <s v="ITEM356"/>
    <s v="Tube"/>
    <s v="Finished Goods"/>
    <x v="3"/>
    <n v="434"/>
    <n v="328"/>
    <n v="84"/>
    <n v="6"/>
    <n v="162.31"/>
    <n v="0.2"/>
    <n v="110"/>
    <n v="0.97"/>
    <n v="9"/>
    <n v="10.933333333333334"/>
    <n v="10.933333333333334"/>
    <n v="0.25609756097560976"/>
    <s v="Moderate"/>
    <n v="205.75713839378693"/>
    <n v="222.69047172712027"/>
    <n v="211.30952827287973"/>
    <s v=" Safe"/>
    <n v="3936"/>
    <n v="638852.16"/>
    <m/>
    <n v="1.4323078167528772E-3"/>
    <n v="0.82598046695598526"/>
    <s v="B"/>
    <s v="Y"/>
    <s v="BY"/>
    <s v="Periodic Review"/>
    <s v="Bi-Weekly"/>
    <s v="Periodic Review"/>
    <s v="Low"/>
    <n v="50"/>
    <x v="2"/>
  </r>
  <r>
    <s v="ITEM267"/>
    <s v="Flange"/>
    <s v="Finished Goods"/>
    <x v="0"/>
    <n v="720"/>
    <n v="214"/>
    <n v="9"/>
    <n v="22"/>
    <n v="248.77"/>
    <n v="0.11"/>
    <n v="799"/>
    <n v="0.76"/>
    <n v="6"/>
    <n v="7.1333333333333337"/>
    <n v="7.1333333333333337"/>
    <n v="4.2056074766355138E-2"/>
    <s v="Stable"/>
    <n v="42.213741838410868"/>
    <n v="71.347075171744194"/>
    <n v="648.65292482825578"/>
    <s v=" Safe"/>
    <n v="2568"/>
    <n v="638841.36"/>
    <m/>
    <n v="1.4322836031313393E-3"/>
    <n v="0.82741275055911656"/>
    <s v="B"/>
    <s v="X"/>
    <s v="BX"/>
    <s v="Standard Control"/>
    <s v="Weekly"/>
    <s v="Standard Replenishment"/>
    <s v="Low"/>
    <n v="40"/>
    <x v="1"/>
  </r>
  <r>
    <s v="ITEM141"/>
    <s v="Sheet"/>
    <s v="Finished Goods"/>
    <x v="4"/>
    <n v="881"/>
    <n v="250"/>
    <n v="55"/>
    <n v="21"/>
    <n v="211.52"/>
    <n v="0.18"/>
    <n v="343"/>
    <n v="0.9"/>
    <n v="1"/>
    <n v="8.3333333333333339"/>
    <n v="8.3333333333333339"/>
    <n v="0.22"/>
    <s v="Moderate"/>
    <n v="252.0416632225712"/>
    <n v="281.37499655590454"/>
    <n v="599.62500344409546"/>
    <s v=" Safe"/>
    <n v="3000"/>
    <n v="634560"/>
    <m/>
    <n v="1.422684785473224E-3"/>
    <n v="0.82883543534458981"/>
    <s v="B"/>
    <s v="Y"/>
    <s v="BY"/>
    <s v="Periodic Review"/>
    <s v="Bi-Weekly"/>
    <s v="Periodic Review"/>
    <s v="Low"/>
    <n v="30"/>
    <x v="1"/>
  </r>
  <r>
    <s v="ITEM445"/>
    <s v="Rod"/>
    <s v="Raw Material"/>
    <x v="4"/>
    <n v="155"/>
    <n v="361"/>
    <n v="45"/>
    <n v="26"/>
    <n v="146.13"/>
    <n v="0.11"/>
    <n v="400"/>
    <n v="0.91"/>
    <n v="9"/>
    <n v="12.033333333333333"/>
    <n v="12.033333333333333"/>
    <n v="0.12465373961218837"/>
    <s v="Stable"/>
    <n v="229.4558781116753"/>
    <n v="267.48921144500866"/>
    <n v="-112.48921144500866"/>
    <s v=" Need to Order"/>
    <n v="4332"/>
    <n v="633035.16"/>
    <m/>
    <n v="1.4192660911523072E-3"/>
    <n v="0.83025470143574209"/>
    <s v="B"/>
    <s v="X"/>
    <s v="BX"/>
    <s v="Standard Control"/>
    <s v="Weekly"/>
    <s v="Standard Replenishment"/>
    <s v="Low"/>
    <n v="50"/>
    <x v="2"/>
  </r>
  <r>
    <s v="ITEM375"/>
    <s v="Sheet"/>
    <s v="Finished Goods"/>
    <x v="2"/>
    <n v="650"/>
    <n v="141"/>
    <n v="14"/>
    <n v="19"/>
    <n v="373.04"/>
    <n v="0.15"/>
    <n v="465"/>
    <n v="0.76"/>
    <n v="8"/>
    <n v="4.7"/>
    <n v="4.7"/>
    <n v="9.9290780141843976E-2"/>
    <s v="Stable"/>
    <n v="61.024585209569437"/>
    <n v="84.72458520956944"/>
    <n v="565.27541479043055"/>
    <s v=" Safe"/>
    <n v="1692"/>
    <n v="631183.68000000005"/>
    <m/>
    <n v="1.4151150692999876E-3"/>
    <n v="0.83166981650504213"/>
    <s v="B"/>
    <s v="X"/>
    <s v="BX"/>
    <s v="Standard Control"/>
    <s v="Weekly"/>
    <s v="Standard Replenishment"/>
    <s v="Low"/>
    <n v="50"/>
    <x v="2"/>
  </r>
  <r>
    <s v="ITEM146"/>
    <s v="Rod"/>
    <s v="Finished Goods"/>
    <x v="3"/>
    <n v="245"/>
    <n v="168"/>
    <n v="9"/>
    <n v="11"/>
    <n v="311.29000000000002"/>
    <n v="7.0000000000000007E-2"/>
    <n v="535"/>
    <n v="0.74"/>
    <n v="5"/>
    <n v="5.6"/>
    <n v="5.6"/>
    <n v="5.3571428571428568E-2"/>
    <s v="Stable"/>
    <n v="29.849623113198597"/>
    <n v="46.449623113198598"/>
    <n v="198.55037688680142"/>
    <s v=" Safe"/>
    <n v="2016"/>
    <n v="627560.64"/>
    <m/>
    <n v="1.4069922063947289E-3"/>
    <n v="0.83307680871143686"/>
    <s v="B"/>
    <s v="X"/>
    <s v="BX"/>
    <s v="Standard Control"/>
    <s v="Weekly"/>
    <s v="Standard Replenishment"/>
    <s v="Low"/>
    <n v="40"/>
    <x v="1"/>
  </r>
  <r>
    <s v="ITEM273"/>
    <s v="Sheet"/>
    <s v="Finished Goods"/>
    <x v="0"/>
    <n v="193"/>
    <n v="436"/>
    <n v="82"/>
    <n v="19"/>
    <n v="119.67"/>
    <n v="0.12"/>
    <n v="482"/>
    <n v="0.77"/>
    <n v="4"/>
    <n v="14.533333333333333"/>
    <n v="14.533333333333333"/>
    <n v="0.18807339449541285"/>
    <s v="Stable"/>
    <n v="357.42971337033526"/>
    <n v="390.96304670366862"/>
    <n v="-197.96304670366862"/>
    <s v=" Need to Order"/>
    <n v="5232"/>
    <n v="626113.44000000006"/>
    <m/>
    <n v="1.4037475811086459E-3"/>
    <n v="0.83448055629254547"/>
    <s v="B"/>
    <s v="X"/>
    <s v="BX"/>
    <s v="Standard Control"/>
    <s v="Weekly"/>
    <s v="Standard Replenishment"/>
    <s v="Low"/>
    <n v="30"/>
    <x v="1"/>
  </r>
  <r>
    <s v="ITEM327"/>
    <s v="Pipe A"/>
    <s v="Finished Goods"/>
    <x v="4"/>
    <n v="88"/>
    <n v="146"/>
    <n v="80"/>
    <n v="5"/>
    <n v="356.36"/>
    <n v="0.23"/>
    <n v="433"/>
    <n v="0.81"/>
    <n v="5"/>
    <n v="4.8666666666666663"/>
    <n v="4.8666666666666663"/>
    <n v="0.54794520547945202"/>
    <s v="Highly veriable"/>
    <n v="178.88543819998318"/>
    <n v="188.75210486664986"/>
    <n v="-100.75210486664986"/>
    <s v=" Need to Order"/>
    <n v="1752"/>
    <n v="624342.72"/>
    <m/>
    <n v="1.399777623337382E-3"/>
    <n v="0.8358803339158829"/>
    <s v="B"/>
    <s v="Z"/>
    <s v="BZ"/>
    <s v="Risk Monitoring"/>
    <s v="Weekly Risk Review"/>
    <s v="Monitor Demand Variability"/>
    <s v="Medium"/>
    <n v="40"/>
    <x v="1"/>
  </r>
  <r>
    <s v="ITEM341"/>
    <s v="Tube"/>
    <s v="Raw Material"/>
    <x v="1"/>
    <n v="931"/>
    <n v="257"/>
    <n v="18"/>
    <n v="9"/>
    <n v="199.26"/>
    <n v="0.19"/>
    <n v="264"/>
    <n v="0.93"/>
    <n v="1"/>
    <n v="8.5666666666666664"/>
    <n v="8.5666666666666664"/>
    <n v="7.0038910505836577E-2"/>
    <s v="Stable"/>
    <n v="54"/>
    <n v="71.566666666666663"/>
    <n v="859.43333333333339"/>
    <s v=" Safe"/>
    <n v="3084"/>
    <n v="614517.84"/>
    <m/>
    <n v="1.3777502227840849E-3"/>
    <n v="0.83725808413866698"/>
    <s v="B"/>
    <s v="X"/>
    <s v="BX"/>
    <s v="Standard Control"/>
    <s v="Weekly"/>
    <s v="Standard Replenishment"/>
    <s v="Low"/>
    <n v="30"/>
    <x v="1"/>
  </r>
  <r>
    <s v="ITEM202"/>
    <s v="Pipe B"/>
    <s v="Finished Goods"/>
    <x v="0"/>
    <n v="833"/>
    <n v="137"/>
    <n v="6"/>
    <n v="12"/>
    <n v="368.63"/>
    <n v="0.25"/>
    <n v="178"/>
    <n v="0.81"/>
    <n v="1"/>
    <n v="4.5666666666666664"/>
    <n v="4.5666666666666664"/>
    <n v="4.3795620437956206E-2"/>
    <s v="Stable"/>
    <n v="20.784609690826528"/>
    <n v="37.351276357493191"/>
    <n v="795.64872364250687"/>
    <s v=" Safe"/>
    <n v="1644"/>
    <n v="606027.72"/>
    <m/>
    <n v="1.3587153568126371E-3"/>
    <n v="0.83861679949547963"/>
    <s v="B"/>
    <s v="X"/>
    <s v="BX"/>
    <s v="Standard Control"/>
    <s v="Weekly"/>
    <s v="Standard Replenishment"/>
    <s v="Low"/>
    <n v="30"/>
    <x v="1"/>
  </r>
  <r>
    <s v="ITEM156"/>
    <s v="Rod"/>
    <s v="Finished Goods"/>
    <x v="4"/>
    <n v="230"/>
    <n v="171"/>
    <n v="10"/>
    <n v="21"/>
    <n v="293.64"/>
    <n v="0.1"/>
    <n v="825"/>
    <n v="0.9"/>
    <n v="3"/>
    <n v="5.7"/>
    <n v="5.7"/>
    <n v="5.8479532163742687E-2"/>
    <s v="Stable"/>
    <n v="45.825756949558397"/>
    <n v="72.525756949558399"/>
    <n v="157.4742430504416"/>
    <s v=" Safe"/>
    <n v="2052"/>
    <n v="602549.28"/>
    <m/>
    <n v="1.3509166873957477E-3"/>
    <n v="0.83996771618287536"/>
    <s v="B"/>
    <s v="X"/>
    <s v="BX"/>
    <s v="Standard Control"/>
    <s v="Weekly"/>
    <s v="Standard Replenishment"/>
    <s v="Low"/>
    <n v="30"/>
    <x v="1"/>
  </r>
  <r>
    <s v="ITEM266"/>
    <s v="Valve"/>
    <s v="Raw Material"/>
    <x v="0"/>
    <n v="462"/>
    <n v="274"/>
    <n v="23"/>
    <n v="26"/>
    <n v="182.3"/>
    <n v="0.13"/>
    <n v="975"/>
    <n v="0.72"/>
    <n v="2"/>
    <n v="9.1333333333333329"/>
    <n v="9.1333333333333329"/>
    <n v="8.3941605839416053E-2"/>
    <s v="Stable"/>
    <n v="117.27744881263405"/>
    <n v="152.41078214596737"/>
    <n v="309.58921785403265"/>
    <s v=" Safe"/>
    <n v="3288"/>
    <n v="599402.4"/>
    <m/>
    <n v="1.3438613761600725E-3"/>
    <n v="0.84131157755903541"/>
    <s v="B"/>
    <s v="X"/>
    <s v="BX"/>
    <s v="Standard Control"/>
    <s v="Weekly"/>
    <s v="Standard Replenishment"/>
    <s v="Low"/>
    <n v="30"/>
    <x v="1"/>
  </r>
  <r>
    <s v="ITEM337"/>
    <s v="Flange"/>
    <s v="Raw Material"/>
    <x v="2"/>
    <n v="129"/>
    <n v="385"/>
    <n v="19"/>
    <n v="9"/>
    <n v="128.82"/>
    <n v="0.14000000000000001"/>
    <n v="284"/>
    <n v="0.86"/>
    <n v="2"/>
    <n v="12.833333333333334"/>
    <n v="12.833333333333334"/>
    <n v="4.9350649350649353E-2"/>
    <s v="Stable"/>
    <n v="57"/>
    <n v="78.833333333333343"/>
    <n v="50.166666666666657"/>
    <s v=" Risk"/>
    <n v="4620"/>
    <n v="595148.4"/>
    <m/>
    <n v="1.33432389967652E-3"/>
    <n v="0.84264590145871188"/>
    <s v="B"/>
    <s v="X"/>
    <s v="BX"/>
    <s v="Standard Control"/>
    <s v="Weekly"/>
    <s v="Standard Replenishment"/>
    <s v="Low"/>
    <n v="30"/>
    <x v="1"/>
  </r>
  <r>
    <s v="ITEM168"/>
    <s v="Pipe B"/>
    <s v="Raw Material"/>
    <x v="3"/>
    <n v="892"/>
    <n v="259"/>
    <n v="65"/>
    <n v="24"/>
    <n v="191.03"/>
    <n v="0.08"/>
    <n v="738"/>
    <n v="0.81"/>
    <n v="6"/>
    <n v="8.6333333333333329"/>
    <n v="8.6333333333333329"/>
    <n v="0.25096525096525096"/>
    <s v="Moderate"/>
    <n v="318.43366656181314"/>
    <n v="351.06699989514647"/>
    <n v="540.93300010485359"/>
    <s v=" Safe"/>
    <n v="3108"/>
    <n v="593721.24"/>
    <m/>
    <n v="1.3311242041104017E-3"/>
    <n v="0.84397702566282229"/>
    <s v="B"/>
    <s v="Y"/>
    <s v="BY"/>
    <s v="Periodic Review"/>
    <s v="Bi-Weekly"/>
    <s v="Periodic Review"/>
    <s v="Low"/>
    <n v="40"/>
    <x v="1"/>
  </r>
  <r>
    <s v="ITEM462"/>
    <s v="Tube"/>
    <s v="Raw Material"/>
    <x v="3"/>
    <n v="291"/>
    <n v="137"/>
    <n v="88"/>
    <n v="6"/>
    <n v="360.57"/>
    <n v="0.23"/>
    <n v="302"/>
    <n v="0.8"/>
    <n v="4"/>
    <n v="4.5666666666666664"/>
    <n v="4.5666666666666664"/>
    <n v="0.64233576642335766"/>
    <s v="Highly veriable"/>
    <n v="215.55509736491965"/>
    <n v="226.12176403158631"/>
    <n v="64.878235968413691"/>
    <s v=" Risk"/>
    <n v="1644"/>
    <n v="592777.07999999996"/>
    <m/>
    <n v="1.3290073955075077E-3"/>
    <n v="0.84530603305832974"/>
    <s v="B"/>
    <s v="Z"/>
    <s v="BZ"/>
    <s v="Risk Monitoring"/>
    <s v="Weekly Risk Review"/>
    <s v="Monitor Demand Variability"/>
    <s v="Medium"/>
    <n v="30"/>
    <x v="1"/>
  </r>
  <r>
    <s v="ITEM118"/>
    <s v="Valve"/>
    <s v="Finished Goods"/>
    <x v="0"/>
    <n v="119"/>
    <n v="260"/>
    <n v="30"/>
    <n v="10"/>
    <n v="189.58"/>
    <n v="0.25"/>
    <n v="881"/>
    <n v="0.99"/>
    <n v="1"/>
    <n v="8.6666666666666661"/>
    <n v="8.6666666666666661"/>
    <n v="0.11538461538461539"/>
    <s v="Stable"/>
    <n v="94.868329805051388"/>
    <n v="113.53499647171805"/>
    <n v="5.4650035282819545"/>
    <s v=" Risk"/>
    <n v="3120"/>
    <n v="591489.60000000009"/>
    <m/>
    <n v="1.326120862779947E-3"/>
    <n v="0.84663215392110969"/>
    <s v="B"/>
    <s v="X"/>
    <s v="BX"/>
    <s v="Standard Control"/>
    <s v="Weekly"/>
    <s v="Standard Replenishment"/>
    <s v="Low"/>
    <n v="30"/>
    <x v="1"/>
  </r>
  <r>
    <s v="ITEM102"/>
    <s v="Tube"/>
    <s v="Finished Goods"/>
    <x v="1"/>
    <n v="890"/>
    <n v="335"/>
    <n v="41"/>
    <n v="27"/>
    <n v="147.06"/>
    <n v="0.14000000000000001"/>
    <n v="184"/>
    <n v="0.93"/>
    <n v="2"/>
    <n v="11.166666666666666"/>
    <n v="11.166666666666666"/>
    <n v="0.12238805970149254"/>
    <s v="Stable"/>
    <n v="213.04224933097191"/>
    <n v="251.20891599763857"/>
    <n v="638.79108400236146"/>
    <s v=" Safe"/>
    <n v="4020"/>
    <n v="591181.19999999995"/>
    <m/>
    <n v="1.3254294293649192E-3"/>
    <n v="0.84795758335047455"/>
    <s v="B"/>
    <s v="X"/>
    <s v="BX"/>
    <s v="Standard Control"/>
    <s v="Weekly"/>
    <s v="Standard Replenishment"/>
    <s v="Low"/>
    <n v="30"/>
    <x v="1"/>
  </r>
  <r>
    <s v="ITEM324"/>
    <s v="Rod"/>
    <s v="Finished Goods"/>
    <x v="2"/>
    <n v="476"/>
    <n v="219"/>
    <n v="74"/>
    <n v="2"/>
    <n v="223.56"/>
    <n v="0.09"/>
    <n v="159"/>
    <n v="0.78"/>
    <n v="1"/>
    <n v="7.3"/>
    <n v="7.3"/>
    <n v="0.33789954337899542"/>
    <s v="Moderate"/>
    <n v="104.65180361560904"/>
    <n v="113.95180361560904"/>
    <n v="362.04819638439096"/>
    <s v=" Safe"/>
    <n v="2628"/>
    <n v="587515.68000000005"/>
    <m/>
    <n v="1.3172113262149448E-3"/>
    <n v="0.84927479467668954"/>
    <s v="B"/>
    <s v="Y"/>
    <s v="BY"/>
    <s v="Periodic Review"/>
    <s v="Bi-Weekly"/>
    <s v="Periodic Review"/>
    <s v="Low"/>
    <n v="30"/>
    <x v="1"/>
  </r>
  <r>
    <s v="ITEM394"/>
    <s v="Connector"/>
    <s v="Finished Goods"/>
    <x v="0"/>
    <n v="756"/>
    <n v="140"/>
    <n v="49"/>
    <n v="1"/>
    <n v="348.12"/>
    <n v="0.19"/>
    <n v="278"/>
    <n v="0.9"/>
    <n v="4"/>
    <n v="4.666666666666667"/>
    <n v="4.666666666666667"/>
    <n v="0.35"/>
    <s v="Moderate"/>
    <n v="49"/>
    <n v="54.666666666666664"/>
    <n v="701.33333333333337"/>
    <s v=" Safe"/>
    <n v="1680"/>
    <n v="584841.6"/>
    <m/>
    <n v="1.3112160335221525E-3"/>
    <n v="0.85058601071021167"/>
    <s v="B"/>
    <s v="Y"/>
    <s v="BY"/>
    <s v="Periodic Review"/>
    <s v="Bi-Weekly"/>
    <s v="Periodic Review"/>
    <s v="Low"/>
    <n v="30"/>
    <x v="1"/>
  </r>
  <r>
    <s v="ITEM023"/>
    <s v="Sheet"/>
    <s v="Raw Material"/>
    <x v="4"/>
    <n v="112"/>
    <n v="145"/>
    <n v="67"/>
    <n v="16"/>
    <n v="335.25"/>
    <n v="0.13"/>
    <n v="270"/>
    <n v="0.86"/>
    <n v="1"/>
    <n v="4.833333333333333"/>
    <n v="4.833333333333333"/>
    <n v="0.46206896551724136"/>
    <s v="Moderate"/>
    <n v="268"/>
    <n v="288.83333333333331"/>
    <n v="-176.83333333333331"/>
    <s v=" Need to Order"/>
    <n v="1740"/>
    <n v="583335"/>
    <m/>
    <n v="1.3078382333176109E-3"/>
    <n v="0.85189384894352926"/>
    <s v="B"/>
    <s v="Y"/>
    <s v="BY"/>
    <s v="Periodic Review"/>
    <s v="Bi-Weekly"/>
    <s v="Periodic Review"/>
    <s v="Low"/>
    <n v="30"/>
    <x v="1"/>
  </r>
  <r>
    <s v="ITEM376"/>
    <s v="Pipe B"/>
    <s v="Raw Material"/>
    <x v="0"/>
    <n v="332"/>
    <n v="297"/>
    <n v="69"/>
    <n v="11"/>
    <n v="162.47"/>
    <n v="0.2"/>
    <n v="840"/>
    <n v="0.93"/>
    <n v="1"/>
    <n v="9.9"/>
    <n v="9.9"/>
    <n v="0.23232323232323232"/>
    <s v="Moderate"/>
    <n v="228.84711053452259"/>
    <n v="249.74711053452259"/>
    <n v="82.252889465477409"/>
    <s v=" Risk"/>
    <n v="3564"/>
    <n v="579043.07999999996"/>
    <m/>
    <n v="1.2982157401184361E-3"/>
    <n v="0.85319206468364772"/>
    <s v="B"/>
    <s v="Y"/>
    <s v="BY"/>
    <s v="Periodic Review"/>
    <s v="Bi-Weekly"/>
    <s v="Periodic Review"/>
    <s v="Low"/>
    <n v="30"/>
    <x v="1"/>
  </r>
  <r>
    <s v="ITEM489"/>
    <s v="Pipe A"/>
    <s v="Finished Goods"/>
    <x v="3"/>
    <n v="624"/>
    <n v="106"/>
    <n v="90"/>
    <n v="23"/>
    <n v="453.09"/>
    <n v="0.13"/>
    <n v="976"/>
    <n v="0.8"/>
    <n v="3"/>
    <n v="3.5333333333333332"/>
    <n v="3.5333333333333332"/>
    <n v="0.84905660377358494"/>
    <s v="Highly veriable"/>
    <n v="431.62483709814472"/>
    <n v="458.15817043147808"/>
    <n v="165.84182956852192"/>
    <s v=" Risk"/>
    <n v="1272"/>
    <n v="576330.48"/>
    <m/>
    <n v="1.2921340855088254E-3"/>
    <n v="0.8544841987691566"/>
    <s v="B"/>
    <s v="Z"/>
    <s v="BZ"/>
    <s v="Risk Monitoring"/>
    <s v="Weekly Risk Review"/>
    <s v="Monitor Demand Variability"/>
    <s v="Medium"/>
    <n v="30"/>
    <x v="1"/>
  </r>
  <r>
    <s v="ITEM075"/>
    <s v="Connector"/>
    <s v="Raw Material"/>
    <x v="4"/>
    <n v="910"/>
    <n v="405"/>
    <n v="87"/>
    <n v="12"/>
    <n v="118.29"/>
    <n v="0.21"/>
    <n v="299"/>
    <n v="0.73"/>
    <n v="9"/>
    <n v="13.5"/>
    <n v="13.5"/>
    <n v="0.21481481481481482"/>
    <s v="Moderate"/>
    <n v="301.37684051698466"/>
    <n v="326.87684051698466"/>
    <n v="583.12315948301534"/>
    <s v=" Safe"/>
    <n v="4860"/>
    <n v="574889.4"/>
    <m/>
    <n v="1.2889031812749472E-3"/>
    <n v="0.85577310195043155"/>
    <s v="B"/>
    <s v="Y"/>
    <s v="BY"/>
    <s v="Periodic Review"/>
    <s v="Bi-Weekly"/>
    <s v="Periodic Review"/>
    <s v="Low"/>
    <n v="50"/>
    <x v="2"/>
  </r>
  <r>
    <s v="ITEM485"/>
    <s v="Connector"/>
    <s v="Finished Goods"/>
    <x v="2"/>
    <n v="186"/>
    <n v="124"/>
    <n v="20"/>
    <n v="6"/>
    <n v="382.05"/>
    <n v="0.09"/>
    <n v="471"/>
    <n v="0.81"/>
    <n v="4"/>
    <n v="4.1333333333333337"/>
    <n v="4.1333333333333337"/>
    <n v="0.16129032258064516"/>
    <s v="Stable"/>
    <n v="48.989794855663561"/>
    <n v="59.123128188996894"/>
    <n v="126.8768718110031"/>
    <s v=" Safe"/>
    <n v="1488"/>
    <n v="568490.4"/>
    <m/>
    <n v="1.2745566105137219E-3"/>
    <n v="0.85704765856094522"/>
    <s v="B"/>
    <s v="X"/>
    <s v="BX"/>
    <s v="Standard Control"/>
    <s v="Weekly"/>
    <s v="Standard Replenishment"/>
    <s v="Low"/>
    <n v="30"/>
    <x v="1"/>
  </r>
  <r>
    <s v="ITEM151"/>
    <s v="Tube"/>
    <s v="Finished Goods"/>
    <x v="4"/>
    <n v="578"/>
    <n v="250"/>
    <n v="57"/>
    <n v="14"/>
    <n v="189.19"/>
    <n v="7.0000000000000007E-2"/>
    <n v="605"/>
    <n v="0.8"/>
    <n v="3"/>
    <n v="8.3333333333333339"/>
    <n v="8.3333333333333339"/>
    <n v="0.22800000000000001"/>
    <s v="Moderate"/>
    <n v="213.27447104611466"/>
    <n v="235.607804379448"/>
    <n v="342.392195620552"/>
    <s v=" Safe"/>
    <n v="3000"/>
    <n v="567570"/>
    <m/>
    <n v="1.2724930718782113E-3"/>
    <n v="0.85832015163282338"/>
    <s v="B"/>
    <s v="Y"/>
    <s v="BY"/>
    <s v="Periodic Review"/>
    <s v="Bi-Weekly"/>
    <s v="Periodic Review"/>
    <s v="Low"/>
    <n v="30"/>
    <x v="1"/>
  </r>
  <r>
    <s v="ITEM173"/>
    <s v="Sheet"/>
    <s v="Raw Material"/>
    <x v="3"/>
    <n v="154"/>
    <n v="117"/>
    <n v="40"/>
    <n v="8"/>
    <n v="398.05"/>
    <n v="0.19"/>
    <n v="418"/>
    <n v="0.97"/>
    <n v="4"/>
    <n v="3.9"/>
    <n v="3.9"/>
    <n v="0.34188034188034189"/>
    <s v="Moderate"/>
    <n v="113.13708498984761"/>
    <n v="125.03708498984761"/>
    <n v="28.962915010152386"/>
    <s v=" Risk"/>
    <n v="1404"/>
    <n v="558862.20000000007"/>
    <m/>
    <n v="1.2529701669126547E-3"/>
    <n v="0.859573121799736"/>
    <s v="B"/>
    <s v="Y"/>
    <s v="BY"/>
    <s v="Periodic Review"/>
    <s v="Bi-Weekly"/>
    <s v="Periodic Review"/>
    <s v="Low"/>
    <n v="30"/>
    <x v="1"/>
  </r>
  <r>
    <s v="ITEM208"/>
    <s v="Tube"/>
    <s v="Finished Goods"/>
    <x v="1"/>
    <n v="372"/>
    <n v="207"/>
    <n v="41"/>
    <n v="11"/>
    <n v="224.32"/>
    <n v="0.14000000000000001"/>
    <n v="211"/>
    <n v="0.86"/>
    <n v="8"/>
    <n v="6.9"/>
    <n v="6.9"/>
    <n v="0.19806763285024154"/>
    <s v="Stable"/>
    <n v="135.98161640457138"/>
    <n v="153.88161640457139"/>
    <n v="218.11838359542861"/>
    <s v=" Safe"/>
    <n v="2484"/>
    <n v="557210.88"/>
    <m/>
    <n v="1.2492679041795046E-3"/>
    <n v="0.86082238970391545"/>
    <s v="B"/>
    <s v="X"/>
    <s v="BX"/>
    <s v="Standard Control"/>
    <s v="Weekly"/>
    <s v="Standard Replenishment"/>
    <s v="Low"/>
    <n v="50"/>
    <x v="2"/>
  </r>
  <r>
    <s v="ITEM152"/>
    <s v="Sheet"/>
    <s v="Finished Goods"/>
    <x v="4"/>
    <n v="29"/>
    <n v="217"/>
    <n v="15"/>
    <n v="25"/>
    <n v="213.23"/>
    <n v="0.13"/>
    <n v="663"/>
    <n v="0.92"/>
    <n v="8"/>
    <n v="7.2333333333333334"/>
    <n v="7.2333333333333334"/>
    <n v="6.9124423963133647E-2"/>
    <s v="Stable"/>
    <n v="75"/>
    <n v="107.23333333333333"/>
    <n v="-78.233333333333334"/>
    <s v=" Need to Order"/>
    <n v="2604"/>
    <n v="555250.91999999993"/>
    <m/>
    <n v="1.2448736699508481E-3"/>
    <n v="0.8620672633738663"/>
    <s v="B"/>
    <s v="X"/>
    <s v="BX"/>
    <s v="Standard Control"/>
    <s v="Weekly"/>
    <s v="Standard Replenishment"/>
    <s v="Low"/>
    <n v="50"/>
    <x v="2"/>
  </r>
  <r>
    <s v="ITEM306"/>
    <s v="Tube"/>
    <s v="Finished Goods"/>
    <x v="3"/>
    <n v="407"/>
    <n v="181"/>
    <n v="94"/>
    <n v="7"/>
    <n v="255.6"/>
    <n v="0.12"/>
    <n v="494"/>
    <n v="0.7"/>
    <n v="9"/>
    <n v="6.0333333333333332"/>
    <n v="6.0333333333333332"/>
    <n v="0.51933701657458564"/>
    <s v="Highly veriable"/>
    <n v="248.70062324007154"/>
    <n v="261.7339565734049"/>
    <n v="145.2660434265951"/>
    <s v=" Risk"/>
    <n v="2172"/>
    <n v="555163.19999999995"/>
    <m/>
    <n v="1.2446770015359123E-3"/>
    <n v="0.86331194037540226"/>
    <s v="B"/>
    <s v="Z"/>
    <s v="BZ"/>
    <s v="Risk Monitoring"/>
    <s v="Weekly Risk Review"/>
    <s v="Monitor Demand Variability"/>
    <s v="Medium"/>
    <n v="50"/>
    <x v="2"/>
  </r>
  <r>
    <s v="ITEM134"/>
    <s v="Pipe A"/>
    <s v="Raw Material"/>
    <x v="2"/>
    <n v="681"/>
    <n v="350"/>
    <n v="50"/>
    <n v="7"/>
    <n v="131.77000000000001"/>
    <n v="0.15"/>
    <n v="555"/>
    <n v="0.78"/>
    <n v="9"/>
    <n v="11.666666666666666"/>
    <n v="11.666666666666666"/>
    <n v="0.14285714285714285"/>
    <s v="Stable"/>
    <n v="132.28756555322954"/>
    <n v="150.9542322198962"/>
    <n v="530.0457677801038"/>
    <s v=" Safe"/>
    <n v="4200"/>
    <n v="553434"/>
    <m/>
    <n v="1.24080013168745E-3"/>
    <n v="0.86455274050708975"/>
    <s v="B"/>
    <s v="X"/>
    <s v="BX"/>
    <s v="Standard Control"/>
    <s v="Weekly"/>
    <s v="Standard Replenishment"/>
    <s v="Low"/>
    <n v="50"/>
    <x v="2"/>
  </r>
  <r>
    <s v="ITEM250"/>
    <s v="Connector"/>
    <s v="Finished Goods"/>
    <x v="2"/>
    <n v="940"/>
    <n v="314"/>
    <n v="87"/>
    <n v="30"/>
    <n v="145.62"/>
    <n v="0.22"/>
    <n v="901"/>
    <n v="0.7"/>
    <n v="4"/>
    <n v="10.466666666666667"/>
    <n v="10.466666666666667"/>
    <n v="0.27707006369426751"/>
    <s v="Moderate"/>
    <n v="476.5186250294945"/>
    <n v="516.9852916961612"/>
    <n v="423.0147083038388"/>
    <s v=" Risk"/>
    <n v="3768"/>
    <n v="548696.16"/>
    <m/>
    <n v="1.2301778849589981E-3"/>
    <n v="0.86578291839204879"/>
    <s v="B"/>
    <s v="Y"/>
    <s v="BY"/>
    <s v="Periodic Review"/>
    <s v="Bi-Weekly"/>
    <s v="Periodic Review"/>
    <s v="Low"/>
    <n v="30"/>
    <x v="1"/>
  </r>
  <r>
    <s v="ITEM310"/>
    <s v="Tube"/>
    <s v="Raw Material"/>
    <x v="1"/>
    <n v="616"/>
    <n v="104"/>
    <n v="93"/>
    <n v="12"/>
    <n v="439.35"/>
    <n v="0.06"/>
    <n v="143"/>
    <n v="0.83"/>
    <n v="7"/>
    <n v="3.4666666666666668"/>
    <n v="3.4666666666666668"/>
    <n v="0.89423076923076927"/>
    <s v="Highly veriable"/>
    <n v="322.16145020781119"/>
    <n v="337.62811687447783"/>
    <n v="278.37188312552217"/>
    <s v=" Risk"/>
    <n v="1248"/>
    <n v="548308.80000000005"/>
    <m/>
    <n v="1.2293094230665042E-3"/>
    <n v="0.86701222781511533"/>
    <s v="B"/>
    <s v="Z"/>
    <s v="BZ"/>
    <s v="Risk Monitoring"/>
    <s v="Weekly Risk Review"/>
    <s v="Monitor Demand Variability"/>
    <s v="Medium"/>
    <n v="40"/>
    <x v="1"/>
  </r>
  <r>
    <s v="ITEM278"/>
    <s v="Flange"/>
    <s v="Raw Material"/>
    <x v="3"/>
    <n v="909"/>
    <n v="275"/>
    <n v="84"/>
    <n v="21"/>
    <n v="165.71"/>
    <n v="0.08"/>
    <n v="727"/>
    <n v="0.99"/>
    <n v="8"/>
    <n v="9.1666666666666661"/>
    <n v="9.1666666666666661"/>
    <n v="0.30545454545454548"/>
    <s v="Moderate"/>
    <n v="384.93635837629057"/>
    <n v="415.10302504295726"/>
    <n v="493.89697495704274"/>
    <s v=" Safe"/>
    <n v="3300"/>
    <n v="546843"/>
    <m/>
    <n v="1.2260230965433279E-3"/>
    <n v="0.86823825091165863"/>
    <s v="B"/>
    <s v="Y"/>
    <s v="BY"/>
    <s v="Periodic Review"/>
    <s v="Bi-Weekly"/>
    <s v="Periodic Review"/>
    <s v="Low"/>
    <n v="50"/>
    <x v="2"/>
  </r>
  <r>
    <s v="ITEM362"/>
    <s v="Tube"/>
    <s v="Finished Goods"/>
    <x v="1"/>
    <n v="601"/>
    <n v="100"/>
    <n v="36"/>
    <n v="11"/>
    <n v="455.14"/>
    <n v="0.17"/>
    <n v="559"/>
    <n v="0.94"/>
    <n v="6"/>
    <n v="3.3333333333333335"/>
    <n v="3.3333333333333335"/>
    <n v="0.36"/>
    <s v="Moderate"/>
    <n v="119.39849245279439"/>
    <n v="133.73182578612773"/>
    <n v="467.26817421387227"/>
    <s v=" Safe"/>
    <n v="1200"/>
    <n v="546168"/>
    <m/>
    <n v="1.2245097451972073E-3"/>
    <n v="0.86946276065685579"/>
    <s v="B"/>
    <s v="Y"/>
    <s v="BY"/>
    <s v="Periodic Review"/>
    <s v="Bi-Weekly"/>
    <s v="Periodic Review"/>
    <s v="Low"/>
    <n v="40"/>
    <x v="1"/>
  </r>
  <r>
    <s v="ITEM037"/>
    <s v="Valve"/>
    <s v="Finished Goods"/>
    <x v="3"/>
    <n v="890"/>
    <n v="333"/>
    <n v="20"/>
    <n v="3"/>
    <n v="136.16"/>
    <n v="0.19"/>
    <n v="579"/>
    <n v="0.9"/>
    <n v="2"/>
    <n v="11.1"/>
    <n v="11.1"/>
    <n v="6.006006006006006E-2"/>
    <s v="Stable"/>
    <n v="34.641016151377542"/>
    <n v="48.741016151377544"/>
    <n v="841.25898384862251"/>
    <s v=" Safe"/>
    <n v="3996"/>
    <n v="544095.36"/>
    <m/>
    <n v="1.2198628821838385E-3"/>
    <n v="0.87068262353903958"/>
    <s v="B"/>
    <s v="X"/>
    <s v="BX"/>
    <s v="Standard Control"/>
    <s v="Weekly"/>
    <s v="Standard Replenishment"/>
    <s v="Low"/>
    <n v="30"/>
    <x v="1"/>
  </r>
  <r>
    <s v="ITEM435"/>
    <s v="Valve"/>
    <s v="Finished Goods"/>
    <x v="2"/>
    <n v="948"/>
    <n v="151"/>
    <n v="24"/>
    <n v="27"/>
    <n v="298.94"/>
    <n v="0.21"/>
    <n v="959"/>
    <n v="0.71"/>
    <n v="7"/>
    <n v="5.0333333333333332"/>
    <n v="5.0333333333333332"/>
    <n v="0.15894039735099338"/>
    <s v="Stable"/>
    <n v="124.70765814495917"/>
    <n v="156.7409914782925"/>
    <n v="791.25900852170753"/>
    <s v=" Safe"/>
    <n v="1812"/>
    <n v="541679.28"/>
    <m/>
    <n v="1.2144460260055637E-3"/>
    <n v="0.87189706956504509"/>
    <s v="B"/>
    <s v="X"/>
    <s v="BX"/>
    <s v="Standard Control"/>
    <s v="Weekly"/>
    <s v="Standard Replenishment"/>
    <s v="Low"/>
    <n v="40"/>
    <x v="1"/>
  </r>
  <r>
    <s v="ITEM379"/>
    <s v="Sheet"/>
    <s v="Raw Material"/>
    <x v="0"/>
    <n v="270"/>
    <n v="325"/>
    <n v="25"/>
    <n v="16"/>
    <n v="138.78"/>
    <n v="0.18"/>
    <n v="925"/>
    <n v="0.79"/>
    <n v="7"/>
    <n v="10.833333333333334"/>
    <n v="10.833333333333334"/>
    <n v="7.6923076923076927E-2"/>
    <s v="Stable"/>
    <n v="100"/>
    <n v="126.83333333333334"/>
    <n v="143.16666666666666"/>
    <s v=" Safe"/>
    <n v="3900"/>
    <n v="541242"/>
    <m/>
    <n v="1.2134656433735165E-3"/>
    <n v="0.87311053520841864"/>
    <s v="B"/>
    <s v="X"/>
    <s v="BX"/>
    <s v="Standard Control"/>
    <s v="Weekly"/>
    <s v="Standard Replenishment"/>
    <s v="Low"/>
    <n v="40"/>
    <x v="1"/>
  </r>
  <r>
    <s v="ITEM066"/>
    <s v="Sheet"/>
    <s v="Finished Goods"/>
    <x v="4"/>
    <n v="465"/>
    <n v="180"/>
    <n v="7"/>
    <n v="9"/>
    <n v="247.07"/>
    <n v="0.21"/>
    <n v="857"/>
    <n v="0.99"/>
    <n v="4"/>
    <n v="6"/>
    <n v="6"/>
    <n v="3.888888888888889E-2"/>
    <s v="Stable"/>
    <n v="21"/>
    <n v="36"/>
    <n v="429"/>
    <s v=" Safe"/>
    <n v="2160"/>
    <n v="533671.19999999995"/>
    <m/>
    <n v="1.1964918946754254E-3"/>
    <n v="0.87430702710309405"/>
    <s v="B"/>
    <s v="X"/>
    <s v="BX"/>
    <s v="Standard Control"/>
    <s v="Weekly"/>
    <s v="Standard Replenishment"/>
    <s v="Low"/>
    <n v="30"/>
    <x v="1"/>
  </r>
  <r>
    <s v="ITEM444"/>
    <s v="Connector"/>
    <s v="Raw Material"/>
    <x v="4"/>
    <n v="740"/>
    <n v="97"/>
    <n v="86"/>
    <n v="21"/>
    <n v="457.6"/>
    <n v="0.11"/>
    <n v="672"/>
    <n v="0.71"/>
    <n v="2"/>
    <n v="3.2333333333333334"/>
    <n v="3.2333333333333334"/>
    <n v="0.88659793814432986"/>
    <s v="Highly veriable"/>
    <n v="394.10150976620224"/>
    <n v="418.33484309953559"/>
    <n v="321.66515690046441"/>
    <s v=" Risk"/>
    <n v="1164"/>
    <n v="532646.40000000002"/>
    <m/>
    <n v="1.194194291031715E-3"/>
    <n v="0.87550122139412578"/>
    <s v="B"/>
    <s v="Z"/>
    <s v="BZ"/>
    <s v="Risk Monitoring"/>
    <s v="Weekly Risk Review"/>
    <s v="Monitor Demand Variability"/>
    <s v="Medium"/>
    <n v="30"/>
    <x v="1"/>
  </r>
  <r>
    <s v="ITEM160"/>
    <s v="Tube"/>
    <s v="Raw Material"/>
    <x v="1"/>
    <n v="680"/>
    <n v="459"/>
    <n v="11"/>
    <n v="22"/>
    <n v="96.18"/>
    <n v="0.11"/>
    <n v="247"/>
    <n v="0.94"/>
    <n v="10"/>
    <n v="15.3"/>
    <n v="15.3"/>
    <n v="2.3965141612200435E-2"/>
    <s v="Stable"/>
    <n v="51.59457335805773"/>
    <n v="88.894573358057727"/>
    <n v="591.10542664194224"/>
    <s v=" Safe"/>
    <n v="5508"/>
    <n v="529759.44000000006"/>
    <m/>
    <n v="1.1877217209543863E-3"/>
    <n v="0.87668894311508017"/>
    <s v="B"/>
    <s v="X"/>
    <s v="BX"/>
    <s v="Standard Control"/>
    <s v="Weekly"/>
    <s v="Standard Replenishment"/>
    <s v="Low"/>
    <n v="50"/>
    <x v="2"/>
  </r>
  <r>
    <s v="ITEM020"/>
    <s v="Pipe B"/>
    <s v="Raw Material"/>
    <x v="2"/>
    <n v="159"/>
    <n v="304"/>
    <n v="51"/>
    <n v="10"/>
    <n v="145.09"/>
    <n v="0.14000000000000001"/>
    <n v="977"/>
    <n v="0.88"/>
    <n v="7"/>
    <n v="10.133333333333333"/>
    <n v="10.133333333333333"/>
    <n v="0.16776315789473684"/>
    <s v="Stable"/>
    <n v="161.27616066858735"/>
    <n v="181.40949400192068"/>
    <n v="-22.409494001920677"/>
    <s v=" Need to Order"/>
    <n v="3648"/>
    <n v="529288.32000000007"/>
    <m/>
    <n v="1.1866654689748539E-3"/>
    <n v="0.877875608584055"/>
    <s v="B"/>
    <s v="X"/>
    <s v="BX"/>
    <s v="Standard Control"/>
    <s v="Weekly"/>
    <s v="Standard Replenishment"/>
    <s v="Low"/>
    <n v="40"/>
    <x v="1"/>
  </r>
  <r>
    <s v="ITEM258"/>
    <s v="Pipe A"/>
    <s v="Raw Material"/>
    <x v="2"/>
    <n v="654"/>
    <n v="179"/>
    <n v="35"/>
    <n v="23"/>
    <n v="242.82"/>
    <n v="0.16"/>
    <n v="137"/>
    <n v="0.74"/>
    <n v="1"/>
    <n v="5.9666666666666668"/>
    <n v="5.9666666666666668"/>
    <n v="0.19553072625698323"/>
    <s v="Stable"/>
    <n v="167.85410331594517"/>
    <n v="196.82076998261184"/>
    <n v="457.17923001738814"/>
    <s v=" Safe"/>
    <n v="2148"/>
    <n v="521577.36"/>
    <m/>
    <n v="1.169377481277248E-3"/>
    <n v="0.87904498606533221"/>
    <s v="B"/>
    <s v="X"/>
    <s v="BX"/>
    <s v="Standard Control"/>
    <s v="Weekly"/>
    <s v="Standard Replenishment"/>
    <s v="Low"/>
    <n v="30"/>
    <x v="1"/>
  </r>
  <r>
    <s v="ITEM161"/>
    <s v="Pipe A"/>
    <s v="Raw Material"/>
    <x v="4"/>
    <n v="79"/>
    <n v="314"/>
    <n v="50"/>
    <n v="8"/>
    <n v="136.63999999999999"/>
    <n v="7.0000000000000007E-2"/>
    <n v="532"/>
    <n v="0.79"/>
    <n v="10"/>
    <n v="10.466666666666667"/>
    <n v="10.466666666666667"/>
    <n v="0.15923566878980891"/>
    <s v="Stable"/>
    <n v="141.42135623730951"/>
    <n v="159.88802290397618"/>
    <n v="-80.888022903976179"/>
    <s v=" Need to Order"/>
    <n v="3768"/>
    <n v="514859.51999999996"/>
    <m/>
    <n v="1.1543160706001749E-3"/>
    <n v="0.88019930213593234"/>
    <s v="B"/>
    <s v="X"/>
    <s v="BX"/>
    <s v="Standard Control"/>
    <s v="Weekly"/>
    <s v="Standard Replenishment"/>
    <s v="Low"/>
    <n v="50"/>
    <x v="2"/>
  </r>
  <r>
    <s v="ITEM392"/>
    <s v="Tube"/>
    <s v="Finished Goods"/>
    <x v="4"/>
    <n v="353"/>
    <n v="87"/>
    <n v="29"/>
    <n v="22"/>
    <n v="488.91"/>
    <n v="0.08"/>
    <n v="481"/>
    <n v="0.77"/>
    <n v="2"/>
    <n v="2.9"/>
    <n v="2.9"/>
    <n v="0.33333333333333331"/>
    <s v="Moderate"/>
    <n v="136.02205703487945"/>
    <n v="160.92205703487946"/>
    <n v="192.07794296512054"/>
    <s v=" Safe"/>
    <n v="1044"/>
    <n v="510422.04000000004"/>
    <m/>
    <n v="1.144367231590717E-3"/>
    <n v="0.88134366936752306"/>
    <s v="B"/>
    <s v="Y"/>
    <s v="BY"/>
    <s v="Periodic Review"/>
    <s v="Bi-Weekly"/>
    <s v="Periodic Review"/>
    <s v="Low"/>
    <n v="30"/>
    <x v="1"/>
  </r>
  <r>
    <s v="ITEM164"/>
    <s v="Rod"/>
    <s v="Raw Material"/>
    <x v="3"/>
    <n v="429"/>
    <n v="106"/>
    <n v="40"/>
    <n v="19"/>
    <n v="400.58"/>
    <n v="0.18"/>
    <n v="203"/>
    <n v="0.79"/>
    <n v="9"/>
    <n v="3.5333333333333332"/>
    <n v="3.5333333333333332"/>
    <n v="0.37735849056603776"/>
    <s v="Moderate"/>
    <n v="174.35595774162695"/>
    <n v="196.88929107496028"/>
    <n v="232.11070892503972"/>
    <s v=" Safe"/>
    <n v="1272"/>
    <n v="509537.75999999995"/>
    <m/>
    <n v="1.1423846740672389E-3"/>
    <n v="0.88248605404159031"/>
    <s v="B"/>
    <s v="Y"/>
    <s v="BY"/>
    <s v="Periodic Review"/>
    <s v="Bi-Weekly"/>
    <s v="Periodic Review"/>
    <s v="Low"/>
    <n v="50"/>
    <x v="2"/>
  </r>
  <r>
    <s v="ITEM230"/>
    <s v="Sheet"/>
    <s v="Raw Material"/>
    <x v="1"/>
    <n v="655"/>
    <n v="105"/>
    <n v="69"/>
    <n v="22"/>
    <n v="400.27"/>
    <n v="0.18"/>
    <n v="700"/>
    <n v="0.85"/>
    <n v="5"/>
    <n v="3.5"/>
    <n v="3.5"/>
    <n v="0.65714285714285714"/>
    <s v="Highly veriable"/>
    <n v="323.63868742781665"/>
    <n v="349.13868742781665"/>
    <n v="305.86131257218335"/>
    <s v=" Risk"/>
    <n v="1260"/>
    <n v="504340.19999999995"/>
    <m/>
    <n v="1.1307317341819889E-3"/>
    <n v="0.8836167857757723"/>
    <s v="B"/>
    <s v="Z"/>
    <s v="BZ"/>
    <s v="Risk Monitoring"/>
    <s v="Weekly Risk Review"/>
    <s v="Monitor Demand Variability"/>
    <s v="Medium"/>
    <n v="40"/>
    <x v="1"/>
  </r>
  <r>
    <s v="ITEM398"/>
    <s v="Rod"/>
    <s v="Raw Material"/>
    <x v="4"/>
    <n v="980"/>
    <n v="358"/>
    <n v="51"/>
    <n v="8"/>
    <n v="117.34"/>
    <n v="0.18"/>
    <n v="435"/>
    <n v="0.84"/>
    <n v="6"/>
    <n v="11.933333333333334"/>
    <n v="11.933333333333334"/>
    <n v="0.14245810055865921"/>
    <s v="Stable"/>
    <n v="144.24978336205569"/>
    <n v="164.18311669538903"/>
    <n v="815.816883304611"/>
    <s v=" Safe"/>
    <n v="4296"/>
    <n v="504092.64"/>
    <m/>
    <n v="1.1301767041682917E-3"/>
    <n v="0.88474696247994056"/>
    <s v="B"/>
    <s v="X"/>
    <s v="BX"/>
    <s v="Standard Control"/>
    <s v="Weekly"/>
    <s v="Standard Replenishment"/>
    <s v="Low"/>
    <n v="40"/>
    <x v="1"/>
  </r>
  <r>
    <s v="ITEM420"/>
    <s v="Sheet"/>
    <s v="Raw Material"/>
    <x v="2"/>
    <n v="399"/>
    <n v="241"/>
    <n v="18"/>
    <n v="6"/>
    <n v="174.05"/>
    <n v="7.0000000000000007E-2"/>
    <n v="283"/>
    <n v="0.91"/>
    <n v="8"/>
    <n v="8.0333333333333332"/>
    <n v="8.0333333333333332"/>
    <n v="7.4688796680497924E-2"/>
    <s v="Stable"/>
    <n v="44.090815370097204"/>
    <n v="58.124148703430535"/>
    <n v="340.87585129656946"/>
    <s v=" Safe"/>
    <n v="2892"/>
    <n v="503352.60000000003"/>
    <m/>
    <n v="1.1285175330124646E-3"/>
    <n v="0.88587548001295302"/>
    <s v="B"/>
    <s v="X"/>
    <s v="BX"/>
    <s v="Standard Control"/>
    <s v="Weekly"/>
    <s v="Standard Replenishment"/>
    <s v="Low"/>
    <n v="50"/>
    <x v="2"/>
  </r>
  <r>
    <s v="ITEM299"/>
    <s v="Flange"/>
    <s v="Finished Goods"/>
    <x v="2"/>
    <n v="136"/>
    <n v="125"/>
    <n v="78"/>
    <n v="7"/>
    <n v="335.25"/>
    <n v="0.2"/>
    <n v="656"/>
    <n v="0.84"/>
    <n v="4"/>
    <n v="4.166666666666667"/>
    <n v="4.166666666666667"/>
    <n v="0.624"/>
    <s v="Highly veriable"/>
    <n v="206.36860226303807"/>
    <n v="217.53526892970473"/>
    <n v="-81.535268929704728"/>
    <s v=" Need to Order"/>
    <n v="1500"/>
    <n v="502875"/>
    <m/>
    <n v="1.1274467528600094E-3"/>
    <n v="0.88700292676581305"/>
    <s v="B"/>
    <s v="Z"/>
    <s v="BZ"/>
    <s v="Risk Monitoring"/>
    <s v="Weekly Risk Review"/>
    <s v="Monitor Demand Variability"/>
    <s v="Medium"/>
    <n v="30"/>
    <x v="1"/>
  </r>
  <r>
    <s v="ITEM350"/>
    <s v="Connector"/>
    <s v="Raw Material"/>
    <x v="3"/>
    <n v="681"/>
    <n v="453"/>
    <n v="49"/>
    <n v="1"/>
    <n v="91.21"/>
    <n v="0.14000000000000001"/>
    <n v="924"/>
    <n v="0.88"/>
    <n v="10"/>
    <n v="15.1"/>
    <n v="15.1"/>
    <n v="0.10816777041942605"/>
    <s v="Stable"/>
    <n v="49"/>
    <n v="65.099999999999994"/>
    <n v="615.9"/>
    <s v=" Safe"/>
    <n v="5436"/>
    <n v="495817.55999999994"/>
    <m/>
    <n v="1.1116239583056878E-3"/>
    <n v="0.88811455072411871"/>
    <s v="B"/>
    <s v="X"/>
    <s v="BX"/>
    <s v="Standard Control"/>
    <s v="Weekly"/>
    <s v="Standard Replenishment"/>
    <s v="Low"/>
    <n v="50"/>
    <x v="2"/>
  </r>
  <r>
    <s v="ITEM109"/>
    <s v="Flange"/>
    <s v="Finished Goods"/>
    <x v="2"/>
    <n v="514"/>
    <n v="100"/>
    <n v="17"/>
    <n v="26"/>
    <n v="412.94"/>
    <n v="0.19"/>
    <n v="383"/>
    <n v="0.78"/>
    <n v="5"/>
    <n v="3.3333333333333335"/>
    <n v="3.3333333333333335"/>
    <n v="0.17"/>
    <s v="Stable"/>
    <n v="86.683331731077331"/>
    <n v="116.01666506441066"/>
    <n v="397.98333493558937"/>
    <s v=" Safe"/>
    <n v="1200"/>
    <n v="495528"/>
    <m/>
    <n v="1.1109747642082321E-3"/>
    <n v="0.8892255254883269"/>
    <s v="B"/>
    <s v="X"/>
    <s v="BX"/>
    <s v="Standard Control"/>
    <s v="Weekly"/>
    <s v="Standard Replenishment"/>
    <s v="Low"/>
    <n v="40"/>
    <x v="1"/>
  </r>
  <r>
    <s v="ITEM285"/>
    <s v="Rod"/>
    <s v="Finished Goods"/>
    <x v="3"/>
    <n v="528"/>
    <n v="118"/>
    <n v="74"/>
    <n v="18"/>
    <n v="349.01"/>
    <n v="0.23"/>
    <n v="968"/>
    <n v="0.83"/>
    <n v="8"/>
    <n v="3.9333333333333331"/>
    <n v="3.9333333333333331"/>
    <n v="0.6271186440677966"/>
    <s v="Highly veriable"/>
    <n v="313.95541084682708"/>
    <n v="335.88874418016042"/>
    <n v="192.11125581983958"/>
    <s v=" Risk"/>
    <n v="1416"/>
    <n v="494198.16"/>
    <m/>
    <n v="1.1079932602761945E-3"/>
    <n v="0.89033351874860311"/>
    <s v="B"/>
    <s v="Z"/>
    <s v="BZ"/>
    <s v="Risk Monitoring"/>
    <s v="Weekly Risk Review"/>
    <s v="Monitor Demand Variability"/>
    <s v="Medium"/>
    <n v="50"/>
    <x v="2"/>
  </r>
  <r>
    <s v="ITEM162"/>
    <s v="Rod"/>
    <s v="Finished Goods"/>
    <x v="2"/>
    <n v="760"/>
    <n v="98"/>
    <n v="84"/>
    <n v="11"/>
    <n v="418.18"/>
    <n v="0.12"/>
    <n v="253"/>
    <n v="0.91"/>
    <n v="3"/>
    <n v="3.2666666666666666"/>
    <n v="3.2666666666666666"/>
    <n v="0.8571428571428571"/>
    <s v="Highly veriable"/>
    <n v="278.59648238985358"/>
    <n v="292.86314905652023"/>
    <n v="467.13685094347977"/>
    <s v=" Safe"/>
    <n v="1176"/>
    <n v="491779.68"/>
    <m/>
    <n v="1.1025710232931334E-3"/>
    <n v="0.89143608977189626"/>
    <s v="B"/>
    <s v="Z"/>
    <s v="BZ"/>
    <s v="Risk Monitoring"/>
    <s v="Weekly Risk Review"/>
    <s v="Monitor Demand Variability"/>
    <s v="Medium"/>
    <n v="30"/>
    <x v="1"/>
  </r>
  <r>
    <s v="ITEM215"/>
    <s v="Flange"/>
    <s v="Raw Material"/>
    <x v="3"/>
    <n v="1000"/>
    <n v="88"/>
    <n v="31"/>
    <n v="25"/>
    <n v="463.1"/>
    <n v="0.16"/>
    <n v="550"/>
    <n v="0.96"/>
    <n v="1"/>
    <n v="2.9333333333333331"/>
    <n v="2.9333333333333331"/>
    <n v="0.35227272727272729"/>
    <s v="Moderate"/>
    <n v="155"/>
    <n v="182.93333333333334"/>
    <n v="817.06666666666661"/>
    <s v=" Safe"/>
    <n v="1056"/>
    <n v="489033.60000000003"/>
    <m/>
    <n v="1.0964143064567551E-3"/>
    <n v="0.89253250407835305"/>
    <s v="B"/>
    <s v="Y"/>
    <s v="BY"/>
    <s v="Periodic Review"/>
    <s v="Bi-Weekly"/>
    <s v="Periodic Review"/>
    <s v="Low"/>
    <n v="30"/>
    <x v="1"/>
  </r>
  <r>
    <s v="ITEM137"/>
    <s v="Valve"/>
    <s v="Raw Material"/>
    <x v="3"/>
    <n v="27"/>
    <n v="405"/>
    <n v="12"/>
    <n v="28"/>
    <n v="99.54"/>
    <n v="0.13"/>
    <n v="789"/>
    <n v="1"/>
    <n v="10"/>
    <n v="13.5"/>
    <n v="13.5"/>
    <n v="2.9629629629629631E-2"/>
    <s v="Stable"/>
    <n v="63.498031465550177"/>
    <n v="104.99803146555018"/>
    <n v="-77.998031465550184"/>
    <s v=" Need to Order"/>
    <n v="4860"/>
    <n v="483764.4"/>
    <m/>
    <n v="1.0846007495486367E-3"/>
    <n v="0.89361710482790169"/>
    <s v="B"/>
    <s v="X"/>
    <s v="BX"/>
    <s v="Standard Control"/>
    <s v="Weekly"/>
    <s v="Standard Replenishment"/>
    <s v="Low"/>
    <n v="50"/>
    <x v="2"/>
  </r>
  <r>
    <s v="ITEM007"/>
    <s v="Pipe A"/>
    <s v="Raw Material"/>
    <x v="2"/>
    <n v="875"/>
    <n v="191"/>
    <n v="45"/>
    <n v="1"/>
    <n v="210.7"/>
    <n v="0.23"/>
    <n v="231"/>
    <n v="0.91"/>
    <n v="2"/>
    <n v="6.3666666666666663"/>
    <n v="6.3666666666666663"/>
    <n v="0.2356020942408377"/>
    <s v="Moderate"/>
    <n v="45"/>
    <n v="52.366666666666667"/>
    <n v="822.63333333333333"/>
    <s v=" Safe"/>
    <n v="2292"/>
    <n v="482924.39999999997"/>
    <m/>
    <n v="1.0827174678734641E-3"/>
    <n v="0.89469982229577516"/>
    <s v="B"/>
    <s v="Y"/>
    <s v="BY"/>
    <s v="Periodic Review"/>
    <s v="Bi-Weekly"/>
    <s v="Periodic Review"/>
    <s v="Low"/>
    <n v="30"/>
    <x v="1"/>
  </r>
  <r>
    <s v="ITEM440"/>
    <s v="Pipe B"/>
    <s v="Finished Goods"/>
    <x v="3"/>
    <n v="503"/>
    <n v="125"/>
    <n v="85"/>
    <n v="19"/>
    <n v="321.89"/>
    <n v="0.24"/>
    <n v="789"/>
    <n v="0.86"/>
    <n v="8"/>
    <n v="4.166666666666667"/>
    <n v="4.166666666666667"/>
    <n v="0.68"/>
    <s v="Highly veriable"/>
    <n v="370.5064102009573"/>
    <n v="393.67307686762399"/>
    <n v="109.32692313237601"/>
    <s v=" Risk"/>
    <n v="1500"/>
    <n v="482835"/>
    <m/>
    <n v="1.082517032895178E-3"/>
    <n v="0.89578233932867035"/>
    <s v="B"/>
    <s v="Z"/>
    <s v="BZ"/>
    <s v="Risk Monitoring"/>
    <s v="Weekly Risk Review"/>
    <s v="Monitor Demand Variability"/>
    <s v="Medium"/>
    <n v="50"/>
    <x v="2"/>
  </r>
  <r>
    <s v="ITEM201"/>
    <s v="Flange"/>
    <s v="Finished Goods"/>
    <x v="3"/>
    <n v="930"/>
    <n v="251"/>
    <n v="97"/>
    <n v="13"/>
    <n v="159.94999999999999"/>
    <n v="0.19"/>
    <n v="686"/>
    <n v="0.85"/>
    <n v="5"/>
    <n v="8.3666666666666671"/>
    <n v="8.3666666666666671"/>
    <n v="0.38645418326693226"/>
    <s v="Moderate"/>
    <n v="349.73847372000694"/>
    <n v="371.10514038667361"/>
    <n v="558.89485961332639"/>
    <s v=" Safe"/>
    <n v="3012"/>
    <n v="481769.39999999997"/>
    <m/>
    <n v="1.0801279555701017E-3"/>
    <n v="0.89686246728424046"/>
    <s v="B"/>
    <s v="Y"/>
    <s v="BY"/>
    <s v="Periodic Review"/>
    <s v="Bi-Weekly"/>
    <s v="Periodic Review"/>
    <s v="Low"/>
    <n v="40"/>
    <x v="1"/>
  </r>
  <r>
    <s v="ITEM232"/>
    <s v="Connector"/>
    <s v="Raw Material"/>
    <x v="4"/>
    <n v="117"/>
    <n v="85"/>
    <n v="86"/>
    <n v="4"/>
    <n v="468.81"/>
    <n v="0.2"/>
    <n v="837"/>
    <n v="0.75"/>
    <n v="10"/>
    <n v="2.8333333333333335"/>
    <n v="2.8333333333333335"/>
    <n v="1.0117647058823529"/>
    <s v="Highly veriable"/>
    <n v="172"/>
    <n v="178.83333333333334"/>
    <n v="-61.833333333333343"/>
    <s v=" Need to Order"/>
    <n v="1020"/>
    <n v="478186.2"/>
    <m/>
    <n v="1.0720944140242942E-3"/>
    <n v="0.8979345616982648"/>
    <s v="B"/>
    <s v="Z"/>
    <s v="BZ"/>
    <s v="Risk Monitoring"/>
    <s v="Weekly Risk Review"/>
    <s v="Monitor Demand Variability"/>
    <s v="Medium"/>
    <n v="50"/>
    <x v="2"/>
  </r>
  <r>
    <s v="ITEM484"/>
    <s v="Sheet"/>
    <s v="Finished Goods"/>
    <x v="2"/>
    <n v="960"/>
    <n v="133"/>
    <n v="16"/>
    <n v="17"/>
    <n v="298.55"/>
    <n v="0.09"/>
    <n v="621"/>
    <n v="0.92"/>
    <n v="10"/>
    <n v="4.4333333333333336"/>
    <n v="4.4333333333333336"/>
    <n v="0.12030075187969924"/>
    <s v="Stable"/>
    <n v="65.969690009882569"/>
    <n v="87.403023343215906"/>
    <n v="872.59697665678414"/>
    <s v=" Safe"/>
    <n v="1596"/>
    <n v="476485.80000000005"/>
    <m/>
    <n v="1.0682821138332664E-3"/>
    <n v="0.89900284381209805"/>
    <s v="B"/>
    <s v="X"/>
    <s v="BX"/>
    <s v="Standard Control"/>
    <s v="Weekly"/>
    <s v="Standard Replenishment"/>
    <s v="Low"/>
    <n v="50"/>
    <x v="2"/>
  </r>
  <r>
    <s v="ITEM140"/>
    <s v="Pipe B"/>
    <s v="Finished Goods"/>
    <x v="1"/>
    <n v="808"/>
    <n v="120"/>
    <n v="25"/>
    <n v="18"/>
    <n v="324.51"/>
    <n v="7.0000000000000007E-2"/>
    <n v="854"/>
    <n v="0.85"/>
    <n v="5"/>
    <n v="4"/>
    <n v="4"/>
    <n v="0.20833333333333334"/>
    <s v="Moderate"/>
    <n v="106.06601717798212"/>
    <n v="128.06601717798213"/>
    <n v="679.93398282201792"/>
    <s v=" Safe"/>
    <n v="1440"/>
    <n v="467294.39999999997"/>
    <m/>
    <n v="1.0476749767032887E-3"/>
    <n v="0.90005051878880138"/>
    <s v="B"/>
    <s v="Y"/>
    <s v="BY"/>
    <s v="Periodic Review"/>
    <s v="Bi-Weekly"/>
    <s v="Periodic Review"/>
    <s v="Low"/>
    <n v="40"/>
    <x v="1"/>
  </r>
  <r>
    <s v="ITEM498"/>
    <s v="Rod"/>
    <s v="Finished Goods"/>
    <x v="2"/>
    <n v="598"/>
    <n v="196"/>
    <n v="16"/>
    <n v="9"/>
    <n v="197.29"/>
    <n v="0.21"/>
    <n v="515"/>
    <n v="0.93"/>
    <n v="4"/>
    <n v="6.5333333333333332"/>
    <n v="6.5333333333333332"/>
    <n v="8.1632653061224483E-2"/>
    <s v="Stable"/>
    <n v="48"/>
    <n v="63.533333333333331"/>
    <n v="534.4666666666667"/>
    <s v=" Safe"/>
    <n v="2352"/>
    <n v="464026.07999999996"/>
    <m/>
    <n v="1.0403473967454315E-3"/>
    <n v="0.90109086618554679"/>
    <s v="B"/>
    <s v="X"/>
    <s v="BX"/>
    <s v="Standard Control"/>
    <s v="Weekly"/>
    <s v="Standard Replenishment"/>
    <s v="Low"/>
    <n v="30"/>
    <x v="1"/>
  </r>
  <r>
    <s v="ITEM380"/>
    <s v="Sheet"/>
    <s v="Raw Material"/>
    <x v="3"/>
    <n v="139"/>
    <n v="283"/>
    <n v="47"/>
    <n v="20"/>
    <n v="134.19999999999999"/>
    <n v="0.06"/>
    <n v="248"/>
    <n v="0.71"/>
    <n v="3"/>
    <n v="9.4333333333333336"/>
    <n v="9.4333333333333336"/>
    <n v="0.16607773851590105"/>
    <s v="Stable"/>
    <n v="210.19038988498025"/>
    <n v="239.62372321831359"/>
    <n v="-100.62372321831359"/>
    <s v=" Need to Order"/>
    <n v="3396"/>
    <n v="455743.19999999995"/>
    <m/>
    <n v="1.0217771632672727E-3"/>
    <n v="0.90211264334881403"/>
    <s v="B"/>
    <s v="X"/>
    <s v="BX"/>
    <s v="Standard Control"/>
    <s v="Weekly"/>
    <s v="Standard Replenishment"/>
    <s v="Low"/>
    <n v="30"/>
    <x v="1"/>
  </r>
  <r>
    <s v="ITEM448"/>
    <s v="Pipe A"/>
    <s v="Raw Material"/>
    <x v="2"/>
    <n v="501"/>
    <n v="381"/>
    <n v="98"/>
    <n v="16"/>
    <n v="97.92"/>
    <n v="0.05"/>
    <n v="942"/>
    <n v="0.98"/>
    <n v="6"/>
    <n v="12.7"/>
    <n v="12.7"/>
    <n v="0.2572178477690289"/>
    <s v="Moderate"/>
    <n v="392"/>
    <n v="420.7"/>
    <n v="80.300000000000011"/>
    <s v=" Risk"/>
    <n v="4572"/>
    <n v="447690.23999999999"/>
    <m/>
    <n v="1.0037224108876326E-3"/>
    <n v="0.90311636575970167"/>
    <s v="B"/>
    <s v="Y"/>
    <s v="BY"/>
    <s v="Periodic Review"/>
    <s v="Bi-Weekly"/>
    <s v="Periodic Review"/>
    <s v="Low"/>
    <n v="40"/>
    <x v="1"/>
  </r>
  <r>
    <s v="ITEM021"/>
    <s v="Pipe B"/>
    <s v="Raw Material"/>
    <x v="2"/>
    <n v="626"/>
    <n v="106"/>
    <n v="95"/>
    <n v="7"/>
    <n v="348.53"/>
    <n v="0.25"/>
    <n v="938"/>
    <n v="0.88"/>
    <n v="6"/>
    <n v="3.5333333333333332"/>
    <n v="3.5333333333333332"/>
    <n v="0.89622641509433965"/>
    <s v="Highly veriable"/>
    <n v="251.34637455113611"/>
    <n v="261.87970788446944"/>
    <n v="364.12029211553056"/>
    <s v=" Safe"/>
    <n v="1272"/>
    <n v="443330.16"/>
    <m/>
    <n v="9.9394710283252962E-4"/>
    <n v="0.90411031286253418"/>
    <s v="B"/>
    <s v="Z"/>
    <s v="BZ"/>
    <s v="Risk Monitoring"/>
    <s v="Weekly Risk Review"/>
    <s v="Monitor Demand Variability"/>
    <s v="Medium"/>
    <n v="40"/>
    <x v="1"/>
  </r>
  <r>
    <s v="ITEM189"/>
    <s v="Tube"/>
    <s v="Finished Goods"/>
    <x v="4"/>
    <n v="111"/>
    <n v="127"/>
    <n v="86"/>
    <n v="21"/>
    <n v="289.99"/>
    <n v="0.16"/>
    <n v="999"/>
    <n v="0.85"/>
    <n v="6"/>
    <n v="4.2333333333333334"/>
    <n v="4.2333333333333334"/>
    <n v="0.67716535433070868"/>
    <s v="Highly veriable"/>
    <n v="394.10150976620224"/>
    <n v="419.33484309953559"/>
    <n v="-308.33484309953559"/>
    <s v=" Need to Order"/>
    <n v="1524"/>
    <n v="441944.76"/>
    <m/>
    <n v="9.9084103326969159E-4"/>
    <n v="0.90510115389580392"/>
    <s v="B"/>
    <s v="Z"/>
    <s v="BZ"/>
    <s v="Risk Monitoring"/>
    <s v="Weekly Risk Review"/>
    <s v="Monitor Demand Variability"/>
    <s v="Medium"/>
    <n v="40"/>
    <x v="1"/>
  </r>
  <r>
    <s v="ITEM331"/>
    <s v="Sheet"/>
    <s v="Raw Material"/>
    <x v="3"/>
    <n v="50"/>
    <n v="382"/>
    <n v="13"/>
    <n v="6"/>
    <n v="95.83"/>
    <n v="0.2"/>
    <n v="116"/>
    <n v="0.85"/>
    <n v="3"/>
    <n v="12.733333333333333"/>
    <n v="12.733333333333333"/>
    <n v="3.4031413612565446E-2"/>
    <s v="Stable"/>
    <n v="31.843366656181313"/>
    <n v="50.576699989514651"/>
    <n v="-0.57669998951465118"/>
    <s v=" Need to Order"/>
    <n v="4584"/>
    <n v="439284.72"/>
    <m/>
    <n v="9.8487721828489851E-4"/>
    <n v="0.90608603111408881"/>
    <s v="B"/>
    <s v="X"/>
    <s v="BX"/>
    <s v="Standard Control"/>
    <s v="Weekly"/>
    <s v="Standard Replenishment"/>
    <s v="Low"/>
    <n v="30"/>
    <x v="1"/>
  </r>
  <r>
    <s v="ITEM003"/>
    <s v="Rod"/>
    <s v="Raw Material"/>
    <x v="0"/>
    <n v="382"/>
    <n v="152"/>
    <n v="65"/>
    <n v="15"/>
    <n v="238.7"/>
    <n v="0.14000000000000001"/>
    <n v="442"/>
    <n v="0.89"/>
    <n v="7"/>
    <n v="5.0666666666666664"/>
    <n v="5.0666666666666664"/>
    <n v="0.42763157894736842"/>
    <s v="Moderate"/>
    <n v="251.74391750348209"/>
    <n v="271.81058417014879"/>
    <n v="110.18941582985121"/>
    <s v=" Risk"/>
    <n v="1824"/>
    <n v="435388.8"/>
    <m/>
    <n v="9.7614255787544825E-4"/>
    <n v="0.90706217367196429"/>
    <s v="B"/>
    <s v="Y"/>
    <s v="BY"/>
    <s v="Periodic Review"/>
    <s v="Bi-Weekly"/>
    <s v="Periodic Review"/>
    <s v="Low"/>
    <n v="40"/>
    <x v="1"/>
  </r>
  <r>
    <s v="ITEM297"/>
    <s v="Connector"/>
    <s v="Raw Material"/>
    <x v="3"/>
    <n v="520"/>
    <n v="303"/>
    <n v="39"/>
    <n v="24"/>
    <n v="119.12"/>
    <n v="0.06"/>
    <n v="652"/>
    <n v="0.76"/>
    <n v="8"/>
    <n v="10.1"/>
    <n v="10.1"/>
    <n v="0.12871287128712872"/>
    <s v="Stable"/>
    <n v="191.06019993708787"/>
    <n v="225.16019993708787"/>
    <n v="294.8398000629121"/>
    <s v=" Safe"/>
    <n v="3636"/>
    <n v="433120.32"/>
    <m/>
    <n v="9.7105662119152507E-4"/>
    <n v="0.90803323029315586"/>
    <s v="B"/>
    <s v="X"/>
    <s v="BX"/>
    <s v="Standard Control"/>
    <s v="Weekly"/>
    <s v="Standard Replenishment"/>
    <s v="Low"/>
    <n v="50"/>
    <x v="2"/>
  </r>
  <r>
    <s v="ITEM340"/>
    <s v="Rod"/>
    <s v="Raw Material"/>
    <x v="4"/>
    <n v="745"/>
    <n v="113"/>
    <n v="72"/>
    <n v="19"/>
    <n v="317.45"/>
    <n v="0.14000000000000001"/>
    <n v="544"/>
    <n v="0.92"/>
    <n v="5"/>
    <n v="3.7666666666666666"/>
    <n v="3.7666666666666666"/>
    <n v="0.63716814159292035"/>
    <s v="Highly veriable"/>
    <n v="313.84072393492852"/>
    <n v="336.60739060159517"/>
    <n v="408.39260939840483"/>
    <s v=" Safe"/>
    <n v="1356"/>
    <n v="430462.2"/>
    <m/>
    <n v="9.6509711085056109E-4"/>
    <n v="0.90899832740400643"/>
    <s v="B"/>
    <s v="Z"/>
    <s v="BZ"/>
    <s v="Risk Monitoring"/>
    <s v="Weekly Risk Review"/>
    <s v="Monitor Demand Variability"/>
    <s v="Medium"/>
    <n v="40"/>
    <x v="1"/>
  </r>
  <r>
    <s v="ITEM366"/>
    <s v="Tube"/>
    <s v="Finished Goods"/>
    <x v="0"/>
    <n v="111"/>
    <n v="154"/>
    <n v="50"/>
    <n v="17"/>
    <n v="231.97"/>
    <n v="0.13"/>
    <n v="866"/>
    <n v="0.76"/>
    <n v="7"/>
    <n v="5.1333333333333337"/>
    <n v="5.1333333333333337"/>
    <n v="0.32467532467532467"/>
    <s v="Moderate"/>
    <n v="206.15528128088303"/>
    <n v="228.28861461421636"/>
    <n v="-117.28861461421636"/>
    <s v=" Need to Order"/>
    <n v="1848"/>
    <n v="428680.56"/>
    <m/>
    <n v="9.6110267041752003E-4"/>
    <n v="0.90995943007442393"/>
    <s v="B"/>
    <s v="Y"/>
    <s v="BY"/>
    <s v="Periodic Review"/>
    <s v="Bi-Weekly"/>
    <s v="Periodic Review"/>
    <s v="Low"/>
    <n v="40"/>
    <x v="1"/>
  </r>
  <r>
    <s v="ITEM490"/>
    <s v="Connector"/>
    <s v="Finished Goods"/>
    <x v="0"/>
    <n v="202"/>
    <n v="172"/>
    <n v="48"/>
    <n v="2"/>
    <n v="205.44"/>
    <n v="0.16"/>
    <n v="980"/>
    <n v="0.93"/>
    <n v="7"/>
    <n v="5.7333333333333334"/>
    <n v="5.7333333333333334"/>
    <n v="0.27906976744186046"/>
    <s v="Moderate"/>
    <n v="67.882250993908571"/>
    <n v="75.615584327241905"/>
    <n v="126.3844156727581"/>
    <s v=" Safe"/>
    <n v="2064"/>
    <n v="424028.15999999997"/>
    <m/>
    <n v="9.5067198033945701E-4"/>
    <n v="0.91091010205476342"/>
    <s v="B"/>
    <s v="Y"/>
    <s v="BY"/>
    <s v="Periodic Review"/>
    <s v="Bi-Weekly"/>
    <s v="Periodic Review"/>
    <s v="Low"/>
    <n v="40"/>
    <x v="1"/>
  </r>
  <r>
    <s v="ITEM438"/>
    <s v="Pipe A"/>
    <s v="Finished Goods"/>
    <x v="2"/>
    <n v="281"/>
    <n v="427"/>
    <n v="81"/>
    <n v="20"/>
    <n v="82.37"/>
    <n v="0.16"/>
    <n v="868"/>
    <n v="0.87"/>
    <n v="4"/>
    <n v="14.233333333333333"/>
    <n v="14.233333333333333"/>
    <n v="0.18969555035128804"/>
    <s v="Stable"/>
    <n v="362.24301235496597"/>
    <n v="396.47634568829932"/>
    <n v="-115.47634568829932"/>
    <s v=" Need to Order"/>
    <n v="5124"/>
    <n v="422063.88"/>
    <m/>
    <n v="9.4626806066218567E-4"/>
    <n v="0.91185637011542564"/>
    <s v="B"/>
    <s v="X"/>
    <s v="BX"/>
    <s v="Standard Control"/>
    <s v="Weekly"/>
    <s v="Standard Replenishment"/>
    <s v="Low"/>
    <n v="30"/>
    <x v="1"/>
  </r>
  <r>
    <s v="ITEM031"/>
    <s v="Rod"/>
    <s v="Raw Material"/>
    <x v="1"/>
    <n v="514"/>
    <n v="120"/>
    <n v="99"/>
    <n v="18"/>
    <n v="292.45"/>
    <n v="0.2"/>
    <n v="293"/>
    <n v="0.81"/>
    <n v="6"/>
    <n v="4"/>
    <n v="4"/>
    <n v="0.82499999999999996"/>
    <s v="Highly veriable"/>
    <n v="420.02142802480921"/>
    <n v="442.02142802480921"/>
    <n v="71.978571975190789"/>
    <s v=" Risk"/>
    <n v="1440"/>
    <n v="421128"/>
    <m/>
    <n v="9.441698158358041E-4"/>
    <n v="0.91280053993126142"/>
    <s v="B"/>
    <s v="Z"/>
    <s v="BZ"/>
    <s v="Risk Monitoring"/>
    <s v="Weekly Risk Review"/>
    <s v="Monitor Demand Variability"/>
    <s v="Medium"/>
    <n v="40"/>
    <x v="1"/>
  </r>
  <r>
    <s v="ITEM483"/>
    <s v="Pipe B"/>
    <s v="Finished Goods"/>
    <x v="3"/>
    <n v="677"/>
    <n v="340"/>
    <n v="70"/>
    <n v="8"/>
    <n v="102.54"/>
    <n v="0.11"/>
    <n v="261"/>
    <n v="0.79"/>
    <n v="1"/>
    <n v="11.333333333333334"/>
    <n v="11.333333333333334"/>
    <n v="0.20588235294117646"/>
    <s v="Moderate"/>
    <n v="197.98989873223331"/>
    <n v="217.32323206556666"/>
    <n v="459.67676793443331"/>
    <s v=" Safe"/>
    <n v="4080"/>
    <n v="418363.2"/>
    <m/>
    <n v="9.3797112872209332E-4"/>
    <n v="0.91373851105998349"/>
    <s v="B"/>
    <s v="Y"/>
    <s v="BY"/>
    <s v="Periodic Review"/>
    <s v="Bi-Weekly"/>
    <s v="Periodic Review"/>
    <s v="Low"/>
    <n v="30"/>
    <x v="1"/>
  </r>
  <r>
    <s v="ITEM402"/>
    <s v="Connector"/>
    <s v="Finished Goods"/>
    <x v="4"/>
    <n v="733"/>
    <n v="457"/>
    <n v="54"/>
    <n v="21"/>
    <n v="76.239999999999995"/>
    <n v="0.11"/>
    <n v="438"/>
    <n v="0.97"/>
    <n v="2"/>
    <n v="15.233333333333333"/>
    <n v="15.233333333333333"/>
    <n v="0.11816192560175055"/>
    <s v="Stable"/>
    <n v="247.45908752761534"/>
    <n v="283.69242086094869"/>
    <n v="449.30757913905131"/>
    <s v=" Safe"/>
    <n v="5484"/>
    <n v="418100.16"/>
    <m/>
    <n v="9.3738139251752493E-4"/>
    <n v="0.91467589245250103"/>
    <s v="B"/>
    <s v="X"/>
    <s v="BX"/>
    <s v="Standard Control"/>
    <s v="Weekly"/>
    <s v="Standard Replenishment"/>
    <s v="Low"/>
    <n v="30"/>
    <x v="1"/>
  </r>
  <r>
    <s v="ITEM048"/>
    <s v="Valve"/>
    <s v="Raw Material"/>
    <x v="4"/>
    <n v="220"/>
    <n v="294"/>
    <n v="70"/>
    <n v="20"/>
    <n v="118.44"/>
    <n v="0.16"/>
    <n v="812"/>
    <n v="0.98"/>
    <n v="2"/>
    <n v="9.8000000000000007"/>
    <n v="9.8000000000000007"/>
    <n v="0.23809523809523808"/>
    <s v="Moderate"/>
    <n v="313.04951684997059"/>
    <n v="342.8495168499706"/>
    <n v="-122.8495168499706"/>
    <s v=" Need to Order"/>
    <n v="3528"/>
    <n v="417856.32"/>
    <m/>
    <n v="9.368347027512463E-4"/>
    <n v="0.91561272715525233"/>
    <s v="B"/>
    <s v="Y"/>
    <s v="BY"/>
    <s v="Periodic Review"/>
    <s v="Bi-Weekly"/>
    <s v="Periodic Review"/>
    <s v="Low"/>
    <n v="30"/>
    <x v="1"/>
  </r>
  <r>
    <s v="ITEM467"/>
    <s v="Rod"/>
    <s v="Finished Goods"/>
    <x v="1"/>
    <n v="245"/>
    <n v="223"/>
    <n v="96"/>
    <n v="12"/>
    <n v="155.11000000000001"/>
    <n v="0.05"/>
    <n v="108"/>
    <n v="0.82"/>
    <n v="8"/>
    <n v="7.4333333333333336"/>
    <n v="7.4333333333333336"/>
    <n v="0.43049327354260092"/>
    <s v="Moderate"/>
    <n v="332.55375505322445"/>
    <n v="351.98708838655779"/>
    <n v="-106.98708838655779"/>
    <s v=" Need to Order"/>
    <n v="2676"/>
    <n v="415074.36000000004"/>
    <m/>
    <n v="9.3059754288331417E-4"/>
    <n v="0.9165433246981356"/>
    <s v="B"/>
    <s v="Y"/>
    <s v="BY"/>
    <s v="Periodic Review"/>
    <s v="Bi-Weekly"/>
    <s v="Periodic Review"/>
    <s v="Low"/>
    <n v="50"/>
    <x v="2"/>
  </r>
  <r>
    <s v="ITEM358"/>
    <s v="Pipe B"/>
    <s v="Raw Material"/>
    <x v="1"/>
    <n v="903"/>
    <n v="139"/>
    <n v="30"/>
    <n v="11"/>
    <n v="248.12"/>
    <n v="0.11"/>
    <n v="691"/>
    <n v="0.84"/>
    <n v="2"/>
    <n v="4.6333333333333337"/>
    <n v="4.6333333333333337"/>
    <n v="0.21582733812949639"/>
    <s v="Moderate"/>
    <n v="99.498743710661998"/>
    <n v="115.13207704399534"/>
    <n v="787.86792295600469"/>
    <s v=" Safe"/>
    <n v="1668"/>
    <n v="413864.16000000003"/>
    <m/>
    <n v="9.2788427206986904E-4"/>
    <n v="0.91747120897020551"/>
    <s v="B"/>
    <s v="Y"/>
    <s v="BY"/>
    <s v="Periodic Review"/>
    <s v="Bi-Weekly"/>
    <s v="Periodic Review"/>
    <s v="Low"/>
    <n v="30"/>
    <x v="1"/>
  </r>
  <r>
    <s v="ITEM132"/>
    <s v="Flange"/>
    <s v="Raw Material"/>
    <x v="2"/>
    <n v="558"/>
    <n v="304"/>
    <n v="70"/>
    <n v="9"/>
    <n v="112.94"/>
    <n v="0.24"/>
    <n v="421"/>
    <n v="0.71"/>
    <n v="7"/>
    <n v="10.133333333333333"/>
    <n v="10.133333333333333"/>
    <n v="0.23026315789473684"/>
    <s v="Moderate"/>
    <n v="210"/>
    <n v="229.13333333333333"/>
    <n v="328.86666666666667"/>
    <s v=" Safe"/>
    <n v="3648"/>
    <n v="412005.12"/>
    <m/>
    <n v="9.2371630068247273E-4"/>
    <n v="0.91839492527088795"/>
    <s v="B"/>
    <s v="Y"/>
    <s v="BY"/>
    <s v="Periodic Review"/>
    <s v="Bi-Weekly"/>
    <s v="Periodic Review"/>
    <s v="Low"/>
    <n v="40"/>
    <x v="1"/>
  </r>
  <r>
    <s v="ITEM088"/>
    <s v="Rod"/>
    <s v="Finished Goods"/>
    <x v="1"/>
    <n v="951"/>
    <n v="248"/>
    <n v="91"/>
    <n v="12"/>
    <n v="137.5"/>
    <n v="0.08"/>
    <n v="847"/>
    <n v="0.98"/>
    <n v="10"/>
    <n v="8.2666666666666675"/>
    <n v="8.2666666666666675"/>
    <n v="0.36693548387096775"/>
    <s v="Moderate"/>
    <n v="315.23324697753566"/>
    <n v="335.49991364420231"/>
    <n v="615.50008635579775"/>
    <s v=" Safe"/>
    <n v="2976"/>
    <n v="409200"/>
    <m/>
    <n v="9.1742721604835364E-4"/>
    <n v="0.91931235248693632"/>
    <s v="B"/>
    <s v="Y"/>
    <s v="BY"/>
    <s v="Periodic Review"/>
    <s v="Bi-Weekly"/>
    <s v="Periodic Review"/>
    <s v="Low"/>
    <n v="50"/>
    <x v="2"/>
  </r>
  <r>
    <s v="ITEM196"/>
    <s v="Rod"/>
    <s v="Finished Goods"/>
    <x v="2"/>
    <n v="95"/>
    <n v="381"/>
    <n v="64"/>
    <n v="14"/>
    <n v="88.77"/>
    <n v="0.2"/>
    <n v="631"/>
    <n v="0.94"/>
    <n v="9"/>
    <n v="12.7"/>
    <n v="12.7"/>
    <n v="0.16797900262467191"/>
    <s v="Stable"/>
    <n v="239.46607275353225"/>
    <n v="266.16607275353226"/>
    <n v="-171.16607275353226"/>
    <s v=" Need to Order"/>
    <n v="4572"/>
    <n v="405856.44"/>
    <m/>
    <n v="9.0993094786044886E-4"/>
    <n v="0.92022228343479673"/>
    <s v="B"/>
    <s v="X"/>
    <s v="BX"/>
    <s v="Standard Control"/>
    <s v="Weekly"/>
    <s v="Standard Replenishment"/>
    <s v="Low"/>
    <n v="50"/>
    <x v="2"/>
  </r>
  <r>
    <s v="ITEM104"/>
    <s v="Rod"/>
    <s v="Finished Goods"/>
    <x v="3"/>
    <n v="829"/>
    <n v="488"/>
    <n v="34"/>
    <n v="3"/>
    <n v="68.38"/>
    <n v="0.2"/>
    <n v="985"/>
    <n v="0.75"/>
    <n v="10"/>
    <n v="16.266666666666666"/>
    <n v="16.266666666666666"/>
    <n v="6.9672131147540978E-2"/>
    <s v="Stable"/>
    <n v="58.889727457341827"/>
    <n v="78.1563941240085"/>
    <n v="750.84360587599144"/>
    <s v=" Safe"/>
    <n v="5856"/>
    <n v="400433.27999999997"/>
    <m/>
    <n v="8.9777221232529528E-4"/>
    <n v="0.92112005564712207"/>
    <s v="B"/>
    <s v="X"/>
    <s v="BX"/>
    <s v="Standard Control"/>
    <s v="Weekly"/>
    <s v="Standard Replenishment"/>
    <s v="Low"/>
    <n v="50"/>
    <x v="2"/>
  </r>
  <r>
    <s v="ITEM386"/>
    <s v="Connector"/>
    <s v="Finished Goods"/>
    <x v="1"/>
    <n v="267"/>
    <n v="117"/>
    <n v="44"/>
    <n v="24"/>
    <n v="279.86"/>
    <n v="0.15"/>
    <n v="868"/>
    <n v="0.98"/>
    <n v="3"/>
    <n v="3.9"/>
    <n v="3.9"/>
    <n v="0.37606837606837606"/>
    <s v="Moderate"/>
    <n v="215.55509736491965"/>
    <n v="243.45509736491965"/>
    <n v="23.544902635080348"/>
    <s v=" Risk"/>
    <n v="1404"/>
    <n v="392923.44"/>
    <m/>
    <n v="8.8093513606877399E-4"/>
    <n v="0.92200099078319087"/>
    <s v="B"/>
    <s v="Y"/>
    <s v="BY"/>
    <s v="Periodic Review"/>
    <s v="Bi-Weekly"/>
    <s v="Periodic Review"/>
    <s v="Low"/>
    <n v="30"/>
    <x v="1"/>
  </r>
  <r>
    <s v="ITEM082"/>
    <s v="Valve"/>
    <s v="Finished Goods"/>
    <x v="0"/>
    <n v="625"/>
    <n v="113"/>
    <n v="52"/>
    <n v="6"/>
    <n v="286.10000000000002"/>
    <n v="0.23"/>
    <n v="230"/>
    <n v="0.78"/>
    <n v="3"/>
    <n v="3.7666666666666666"/>
    <n v="3.7666666666666666"/>
    <n v="0.46017699115044247"/>
    <s v="Moderate"/>
    <n v="127.37346662472525"/>
    <n v="137.14013329139192"/>
    <n v="487.85986670860808"/>
    <s v=" Safe"/>
    <n v="1356"/>
    <n v="387951.60000000003"/>
    <m/>
    <n v="8.6978826087366688E-4"/>
    <n v="0.92287077904406456"/>
    <s v="B"/>
    <s v="Y"/>
    <s v="BY"/>
    <s v="Periodic Review"/>
    <s v="Bi-Weekly"/>
    <s v="Periodic Review"/>
    <s v="Low"/>
    <n v="30"/>
    <x v="1"/>
  </r>
  <r>
    <s v="ITEM373"/>
    <s v="Sheet"/>
    <s v="Raw Material"/>
    <x v="3"/>
    <n v="105"/>
    <n v="139"/>
    <n v="94"/>
    <n v="19"/>
    <n v="232.21"/>
    <n v="0.1"/>
    <n v="527"/>
    <n v="0.92"/>
    <n v="6"/>
    <n v="4.6333333333333337"/>
    <n v="4.6333333333333337"/>
    <n v="0.67625899280575541"/>
    <s v="Highly veriable"/>
    <n v="409.73650069282337"/>
    <n v="433.3698340261567"/>
    <n v="-328.3698340261567"/>
    <s v=" Need to Order"/>
    <n v="1668"/>
    <n v="387326.28"/>
    <m/>
    <n v="8.6838629218662056E-4"/>
    <n v="0.92373916533625122"/>
    <s v="B"/>
    <s v="Z"/>
    <s v="BZ"/>
    <s v="Risk Monitoring"/>
    <s v="Weekly Risk Review"/>
    <s v="Monitor Demand Variability"/>
    <s v="Medium"/>
    <n v="40"/>
    <x v="1"/>
  </r>
  <r>
    <s v="ITEM454"/>
    <s v="Connector"/>
    <s v="Finished Goods"/>
    <x v="1"/>
    <n v="427"/>
    <n v="69"/>
    <n v="52"/>
    <n v="29"/>
    <n v="467.32"/>
    <n v="0.09"/>
    <n v="986"/>
    <n v="0.7"/>
    <n v="4"/>
    <n v="2.2999999999999998"/>
    <n v="2.2999999999999998"/>
    <n v="0.75362318840579712"/>
    <s v="Highly veriable"/>
    <n v="280.02856997099417"/>
    <n v="311.32856997099418"/>
    <n v="115.67143002900582"/>
    <s v=" Risk"/>
    <n v="828"/>
    <n v="386940.96"/>
    <m/>
    <n v="8.6752240397819488E-4"/>
    <n v="0.92460668774022947"/>
    <s v="B"/>
    <s v="Z"/>
    <s v="BZ"/>
    <s v="Risk Monitoring"/>
    <s v="Weekly Risk Review"/>
    <s v="Monitor Demand Variability"/>
    <s v="Medium"/>
    <n v="30"/>
    <x v="1"/>
  </r>
  <r>
    <s v="ITEM113"/>
    <s v="Flange"/>
    <s v="Finished Goods"/>
    <x v="3"/>
    <n v="634"/>
    <n v="421"/>
    <n v="94"/>
    <n v="2"/>
    <n v="76.28"/>
    <n v="0.14000000000000001"/>
    <n v="800"/>
    <n v="0.72"/>
    <n v="6"/>
    <n v="14.033333333333333"/>
    <n v="14.033333333333333"/>
    <n v="0.22327790973871733"/>
    <s v="Moderate"/>
    <n v="132.93607486307096"/>
    <n v="148.96940819640429"/>
    <n v="485.03059180359571"/>
    <s v=" Safe"/>
    <n v="5052"/>
    <n v="385366.56"/>
    <m/>
    <n v="8.6399259603844284E-4"/>
    <n v="0.92547068033626789"/>
    <s v="B"/>
    <s v="Y"/>
    <s v="BY"/>
    <s v="Periodic Review"/>
    <s v="Bi-Weekly"/>
    <s v="Periodic Review"/>
    <s v="Low"/>
    <n v="40"/>
    <x v="1"/>
  </r>
  <r>
    <s v="ITEM319"/>
    <s v="Sheet"/>
    <s v="Raw Material"/>
    <x v="2"/>
    <n v="40"/>
    <n v="111"/>
    <n v="20"/>
    <n v="26"/>
    <n v="286.98"/>
    <n v="0.18"/>
    <n v="407"/>
    <n v="0.98"/>
    <n v="3"/>
    <n v="3.7"/>
    <n v="3.7"/>
    <n v="0.18018018018018017"/>
    <s v="Stable"/>
    <n v="101.9803902718557"/>
    <n v="131.68039027185569"/>
    <n v="-91.680390271855686"/>
    <s v=" Need to Order"/>
    <n v="1332"/>
    <n v="382257.36000000004"/>
    <m/>
    <n v="8.5702176343791132E-4"/>
    <n v="0.92632770209970583"/>
    <s v="B"/>
    <s v="X"/>
    <s v="BX"/>
    <s v="Standard Control"/>
    <s v="Weekly"/>
    <s v="Standard Replenishment"/>
    <s v="Low"/>
    <n v="30"/>
    <x v="1"/>
  </r>
  <r>
    <s v="ITEM055"/>
    <s v="Pipe A"/>
    <s v="Finished Goods"/>
    <x v="1"/>
    <n v="11"/>
    <n v="203"/>
    <n v="72"/>
    <n v="30"/>
    <n v="156.33000000000001"/>
    <n v="0.08"/>
    <n v="518"/>
    <n v="0.99"/>
    <n v="10"/>
    <n v="6.7666666666666666"/>
    <n v="6.7666666666666666"/>
    <n v="0.35467980295566504"/>
    <s v="Moderate"/>
    <n v="394.36024140371961"/>
    <n v="431.12690807038626"/>
    <n v="-420.12690807038626"/>
    <s v=" Need to Order"/>
    <n v="2436"/>
    <n v="380819.88"/>
    <m/>
    <n v="8.5379893041121239E-4"/>
    <n v="0.92718150103011709"/>
    <s v="B"/>
    <s v="Y"/>
    <s v="BY"/>
    <s v="Periodic Review"/>
    <s v="Bi-Weekly"/>
    <s v="Periodic Review"/>
    <s v="Low"/>
    <n v="50"/>
    <x v="2"/>
  </r>
  <r>
    <s v="ITEM315"/>
    <s v="Pipe A"/>
    <s v="Raw Material"/>
    <x v="4"/>
    <n v="382"/>
    <n v="70"/>
    <n v="68"/>
    <n v="23"/>
    <n v="446.2"/>
    <n v="0.18"/>
    <n v="532"/>
    <n v="0.86"/>
    <n v="7"/>
    <n v="2.3333333333333335"/>
    <n v="2.3333333333333335"/>
    <n v="0.97142857142857142"/>
    <s v="Highly veriable"/>
    <n v="326.11654358526488"/>
    <n v="351.44987691859819"/>
    <n v="30.550123081401807"/>
    <s v=" Risk"/>
    <n v="840"/>
    <n v="374808"/>
    <m/>
    <n v="8.4032028346200222E-4"/>
    <n v="0.92802182131357913"/>
    <s v="B"/>
    <s v="Z"/>
    <s v="BZ"/>
    <s v="Risk Monitoring"/>
    <s v="Weekly Risk Review"/>
    <s v="Monitor Demand Variability"/>
    <s v="Medium"/>
    <n v="40"/>
    <x v="1"/>
  </r>
  <r>
    <s v="ITEM442"/>
    <s v="Pipe A"/>
    <s v="Raw Material"/>
    <x v="4"/>
    <n v="382"/>
    <n v="255"/>
    <n v="71"/>
    <n v="27"/>
    <n v="122.48"/>
    <n v="0.06"/>
    <n v="593"/>
    <n v="0.78"/>
    <n v="7"/>
    <n v="8.5"/>
    <n v="8.5"/>
    <n v="0.27843137254901962"/>
    <s v="Moderate"/>
    <n v="368.92682201217087"/>
    <n v="404.42682201217087"/>
    <n v="-22.426822012170874"/>
    <s v=" Need to Order"/>
    <n v="3060"/>
    <n v="374788.8"/>
    <m/>
    <n v="8.4027723702371257E-4"/>
    <n v="0.92886209855060287"/>
    <s v="B"/>
    <s v="Y"/>
    <s v="BY"/>
    <s v="Periodic Review"/>
    <s v="Bi-Weekly"/>
    <s v="Periodic Review"/>
    <s v="Low"/>
    <n v="40"/>
    <x v="1"/>
  </r>
  <r>
    <s v="ITEM214"/>
    <s v="Rod"/>
    <s v="Finished Goods"/>
    <x v="4"/>
    <n v="61"/>
    <n v="66"/>
    <n v="16"/>
    <n v="2"/>
    <n v="472.71"/>
    <n v="0.15"/>
    <n v="793"/>
    <n v="0.79"/>
    <n v="4"/>
    <n v="2.2000000000000002"/>
    <n v="2.2000000000000002"/>
    <n v="0.24242424242424243"/>
    <s v="Moderate"/>
    <n v="22.627416997969522"/>
    <n v="26.827416997969522"/>
    <n v="34.172583002030478"/>
    <s v=" Safe"/>
    <n v="792"/>
    <n v="374386.32"/>
    <m/>
    <n v="8.3937487606106564E-4"/>
    <n v="0.92970147342666398"/>
    <s v="B"/>
    <s v="Y"/>
    <s v="BY"/>
    <s v="Periodic Review"/>
    <s v="Bi-Weekly"/>
    <s v="Periodic Review"/>
    <s v="Low"/>
    <n v="30"/>
    <x v="1"/>
  </r>
  <r>
    <s v="ITEM328"/>
    <s v="Connector"/>
    <s v="Finished Goods"/>
    <x v="0"/>
    <n v="683"/>
    <n v="246"/>
    <n v="95"/>
    <n v="11"/>
    <n v="126.3"/>
    <n v="0.12"/>
    <n v="446"/>
    <n v="0.93"/>
    <n v="3"/>
    <n v="8.1999999999999993"/>
    <n v="8.1999999999999993"/>
    <n v="0.38617886178861788"/>
    <s v="Moderate"/>
    <n v="315.07935508376301"/>
    <n v="334.27935508376299"/>
    <n v="348.72064491623701"/>
    <s v=" Safe"/>
    <n v="2952"/>
    <n v="372837.6"/>
    <m/>
    <n v="8.3590264273252597E-4"/>
    <n v="0.93053737606939646"/>
    <s v="B"/>
    <s v="Y"/>
    <s v="BY"/>
    <s v="Periodic Review"/>
    <s v="Bi-Weekly"/>
    <s v="Periodic Review"/>
    <s v="Low"/>
    <n v="30"/>
    <x v="1"/>
  </r>
  <r>
    <s v="ITEM197"/>
    <s v="Pipe B"/>
    <s v="Raw Material"/>
    <x v="1"/>
    <n v="896"/>
    <n v="102"/>
    <n v="35"/>
    <n v="8"/>
    <n v="302.32"/>
    <n v="0.11"/>
    <n v="283"/>
    <n v="0.92"/>
    <n v="4"/>
    <n v="3.4"/>
    <n v="3.4"/>
    <n v="0.34313725490196079"/>
    <s v="Moderate"/>
    <n v="98.994949366116657"/>
    <n v="110.39494936611666"/>
    <n v="785.60505063388337"/>
    <s v=" Safe"/>
    <n v="1224"/>
    <n v="370039.68"/>
    <m/>
    <n v="8.2962970051276544E-4"/>
    <n v="0.93136700576990927"/>
    <s v="B"/>
    <s v="Y"/>
    <s v="BY"/>
    <s v="Periodic Review"/>
    <s v="Bi-Weekly"/>
    <s v="Periodic Review"/>
    <s v="Low"/>
    <n v="30"/>
    <x v="1"/>
  </r>
  <r>
    <s v="ITEM406"/>
    <s v="Pipe B"/>
    <s v="Finished Goods"/>
    <x v="1"/>
    <n v="93"/>
    <n v="104"/>
    <n v="61"/>
    <n v="16"/>
    <n v="291.08"/>
    <n v="7.0000000000000007E-2"/>
    <n v="216"/>
    <n v="0.98"/>
    <n v="5"/>
    <n v="3.4666666666666668"/>
    <n v="3.4666666666666668"/>
    <n v="0.58653846153846156"/>
    <s v="Highly veriable"/>
    <n v="244"/>
    <n v="263.4666666666667"/>
    <n v="-170.4666666666667"/>
    <s v=" Need to Order"/>
    <n v="1248"/>
    <n v="363267.83999999997"/>
    <m/>
    <n v="8.1444722172800276E-4"/>
    <n v="0.93218145299163724"/>
    <s v="B"/>
    <s v="Z"/>
    <s v="BZ"/>
    <s v="Risk Monitoring"/>
    <s v="Weekly Risk Review"/>
    <s v="Monitor Demand Variability"/>
    <s v="Medium"/>
    <n v="40"/>
    <x v="1"/>
  </r>
  <r>
    <s v="ITEM487"/>
    <s v="Connector"/>
    <s v="Raw Material"/>
    <x v="4"/>
    <n v="636"/>
    <n v="445"/>
    <n v="87"/>
    <n v="11"/>
    <n v="67.900000000000006"/>
    <n v="0.08"/>
    <n v="173"/>
    <n v="0.76"/>
    <n v="7"/>
    <n v="14.833333333333334"/>
    <n v="14.833333333333334"/>
    <n v="0.19550561797752808"/>
    <s v="Stable"/>
    <n v="288.54635676091976"/>
    <n v="314.37969009425308"/>
    <n v="321.62030990574692"/>
    <s v=" Safe"/>
    <n v="5340"/>
    <n v="362586.00000000006"/>
    <m/>
    <n v="8.1291853508824144E-4"/>
    <n v="0.93299437152672549"/>
    <s v="B"/>
    <s v="X"/>
    <s v="BX"/>
    <s v="Standard Control"/>
    <s v="Weekly"/>
    <s v="Standard Replenishment"/>
    <s v="Low"/>
    <n v="40"/>
    <x v="1"/>
  </r>
  <r>
    <s v="ITEM129"/>
    <s v="Valve"/>
    <s v="Raw Material"/>
    <x v="3"/>
    <n v="390"/>
    <n v="183"/>
    <n v="65"/>
    <n v="3"/>
    <n v="163.05000000000001"/>
    <n v="0.1"/>
    <n v="964"/>
    <n v="0.76"/>
    <n v="3"/>
    <n v="6.1"/>
    <n v="6.1"/>
    <n v="0.3551912568306011"/>
    <s v="Moderate"/>
    <n v="112.58330249197702"/>
    <n v="121.68330249197702"/>
    <n v="268.31669750802297"/>
    <s v=" Safe"/>
    <n v="2196"/>
    <n v="358057.80000000005"/>
    <m/>
    <n v="8.0276630165786471E-4"/>
    <n v="0.93379713782838336"/>
    <s v="B"/>
    <s v="Y"/>
    <s v="BY"/>
    <s v="Periodic Review"/>
    <s v="Bi-Weekly"/>
    <s v="Periodic Review"/>
    <s v="Low"/>
    <n v="30"/>
    <x v="1"/>
  </r>
  <r>
    <s v="ITEM407"/>
    <s v="Connector"/>
    <s v="Finished Goods"/>
    <x v="2"/>
    <n v="443"/>
    <n v="371"/>
    <n v="49"/>
    <n v="6"/>
    <n v="80.099999999999994"/>
    <n v="0.15"/>
    <n v="334"/>
    <n v="0.75"/>
    <n v="9"/>
    <n v="12.366666666666667"/>
    <n v="12.366666666666667"/>
    <n v="0.13207547169811321"/>
    <s v="Stable"/>
    <n v="120.02499739637571"/>
    <n v="138.39166406304238"/>
    <n v="304.60833593695759"/>
    <s v=" Safe"/>
    <n v="4452"/>
    <n v="356605.19999999995"/>
    <m/>
    <n v="7.9950956956101251E-4"/>
    <n v="0.93459664739794435"/>
    <s v="B"/>
    <s v="X"/>
    <s v="BX"/>
    <s v="Standard Control"/>
    <s v="Weekly"/>
    <s v="Standard Replenishment"/>
    <s v="Low"/>
    <n v="50"/>
    <x v="2"/>
  </r>
  <r>
    <s v="ITEM242"/>
    <s v="Valve"/>
    <s v="Finished Goods"/>
    <x v="4"/>
    <n v="463"/>
    <n v="233"/>
    <n v="87"/>
    <n v="12"/>
    <n v="126.43"/>
    <n v="0.23"/>
    <n v="769"/>
    <n v="0.78"/>
    <n v="1"/>
    <n v="7.7666666666666666"/>
    <n v="7.7666666666666666"/>
    <n v="0.37339055793991416"/>
    <s v="Moderate"/>
    <n v="301.37684051698466"/>
    <n v="321.14350718365131"/>
    <n v="141.85649281634869"/>
    <s v=" Risk"/>
    <n v="2796"/>
    <n v="353498.28"/>
    <m/>
    <n v="7.9254384872502791E-4"/>
    <n v="0.93538919124666942"/>
    <s v="B"/>
    <s v="Y"/>
    <s v="BY"/>
    <s v="Periodic Review"/>
    <s v="Bi-Weekly"/>
    <s v="Periodic Review"/>
    <s v="Low"/>
    <n v="30"/>
    <x v="1"/>
  </r>
  <r>
    <s v="ITEM463"/>
    <s v="Pipe B"/>
    <s v="Finished Goods"/>
    <x v="2"/>
    <n v="715"/>
    <n v="81"/>
    <n v="18"/>
    <n v="30"/>
    <n v="363.55"/>
    <n v="0.24"/>
    <n v="865"/>
    <n v="0.99"/>
    <n v="2"/>
    <n v="2.7"/>
    <n v="2.7"/>
    <n v="0.22222222222222221"/>
    <s v="Moderate"/>
    <n v="98.590060350929903"/>
    <n v="131.29006035092991"/>
    <n v="583.70993964907007"/>
    <s v=" Safe"/>
    <n v="972"/>
    <n v="353370.60000000003"/>
    <m/>
    <n v="7.9225758991040166E-4"/>
    <n v="0.93618144883657983"/>
    <s v="B"/>
    <s v="Y"/>
    <s v="BY"/>
    <s v="Periodic Review"/>
    <s v="Bi-Weekly"/>
    <s v="Periodic Review"/>
    <s v="Low"/>
    <n v="30"/>
    <x v="1"/>
  </r>
  <r>
    <s v="ITEM178"/>
    <s v="Rod"/>
    <s v="Finished Goods"/>
    <x v="3"/>
    <n v="155"/>
    <n v="258"/>
    <n v="32"/>
    <n v="26"/>
    <n v="113.56"/>
    <n v="0.23"/>
    <n v="992"/>
    <n v="0.74"/>
    <n v="3"/>
    <n v="8.6"/>
    <n v="8.6"/>
    <n v="0.12403100775193798"/>
    <s v="Stable"/>
    <n v="163.1686244349691"/>
    <n v="197.7686244349691"/>
    <n v="-42.768624434969098"/>
    <s v=" Need to Order"/>
    <n v="3096"/>
    <n v="351581.76"/>
    <m/>
    <n v="7.8824700706300193E-4"/>
    <n v="0.93696969584364287"/>
    <s v="B"/>
    <s v="X"/>
    <s v="BX"/>
    <s v="Standard Control"/>
    <s v="Weekly"/>
    <s v="Standard Replenishment"/>
    <s v="Low"/>
    <n v="30"/>
    <x v="1"/>
  </r>
  <r>
    <s v="ITEM367"/>
    <s v="Pipe B"/>
    <s v="Finished Goods"/>
    <x v="3"/>
    <n v="663"/>
    <n v="227"/>
    <n v="19"/>
    <n v="11"/>
    <n v="127.72"/>
    <n v="0.11"/>
    <n v="484"/>
    <n v="0.91"/>
    <n v="2"/>
    <n v="7.5666666666666664"/>
    <n v="7.5666666666666664"/>
    <n v="8.3700440528634359E-2"/>
    <s v="Stable"/>
    <n v="63.015871016752598"/>
    <n v="81.582537683419261"/>
    <n v="581.41746231658078"/>
    <s v=" Safe"/>
    <n v="2724"/>
    <n v="347909.27999999997"/>
    <m/>
    <n v="7.8001329957914738E-4"/>
    <n v="0.93774970914322198"/>
    <s v="B"/>
    <s v="X"/>
    <s v="BX"/>
    <s v="Standard Control"/>
    <s v="Weekly"/>
    <s v="Standard Replenishment"/>
    <s v="Low"/>
    <n v="30"/>
    <x v="1"/>
  </r>
  <r>
    <s v="ITEM476"/>
    <s v="Tube"/>
    <s v="Finished Goods"/>
    <x v="4"/>
    <n v="104"/>
    <n v="70"/>
    <n v="16"/>
    <n v="29"/>
    <n v="413.22"/>
    <n v="0.11"/>
    <n v="982"/>
    <n v="0.96"/>
    <n v="6"/>
    <n v="2.3333333333333335"/>
    <n v="2.3333333333333335"/>
    <n v="0.22857142857142856"/>
    <s v="Moderate"/>
    <n v="86.16263691415206"/>
    <n v="117.49597024748539"/>
    <n v="-13.495970247485388"/>
    <s v=" Need to Order"/>
    <n v="840"/>
    <n v="347104.80000000005"/>
    <m/>
    <n v="7.7820965381481086E-4"/>
    <n v="0.93852791879703679"/>
    <s v="B"/>
    <s v="Y"/>
    <s v="BY"/>
    <s v="Periodic Review"/>
    <s v="Bi-Weekly"/>
    <s v="Periodic Review"/>
    <s v="Low"/>
    <n v="40"/>
    <x v="1"/>
  </r>
  <r>
    <s v="ITEM107"/>
    <s v="Sheet"/>
    <s v="Raw Material"/>
    <x v="1"/>
    <n v="837"/>
    <n v="85"/>
    <n v="84"/>
    <n v="4"/>
    <n v="335.58"/>
    <n v="0.2"/>
    <n v="732"/>
    <n v="0.86"/>
    <n v="9"/>
    <n v="2.8333333333333335"/>
    <n v="2.8333333333333335"/>
    <n v="0.9882352941176471"/>
    <s v="Highly veriable"/>
    <n v="168"/>
    <n v="174.83333333333334"/>
    <n v="662.16666666666663"/>
    <s v=" Safe"/>
    <n v="1020"/>
    <n v="342291.6"/>
    <m/>
    <n v="7.6741844981607183E-4"/>
    <n v="0.93929533724685288"/>
    <s v="B"/>
    <s v="Z"/>
    <s v="BZ"/>
    <s v="Risk Monitoring"/>
    <s v="Weekly Risk Review"/>
    <s v="Monitor Demand Variability"/>
    <s v="Medium"/>
    <n v="50"/>
    <x v="2"/>
  </r>
  <r>
    <s v="ITEM429"/>
    <s v="Tube"/>
    <s v="Finished Goods"/>
    <x v="0"/>
    <n v="94"/>
    <n v="371"/>
    <n v="60"/>
    <n v="5"/>
    <n v="76.290000000000006"/>
    <n v="0.16"/>
    <n v="463"/>
    <n v="0.9"/>
    <n v="8"/>
    <n v="12.366666666666667"/>
    <n v="12.366666666666667"/>
    <n v="0.16172506738544473"/>
    <s v="Stable"/>
    <n v="134.1640786499874"/>
    <n v="151.53074531665408"/>
    <n v="-57.530745316654077"/>
    <s v=" Need to Order"/>
    <n v="4452"/>
    <n v="339643.08"/>
    <m/>
    <n v="7.6148046269425285E-4"/>
    <n v="0.94005681770954719"/>
    <s v="B"/>
    <s v="X"/>
    <s v="BX"/>
    <s v="Standard Control"/>
    <s v="Weekly"/>
    <s v="Standard Replenishment"/>
    <s v="Low"/>
    <n v="50"/>
    <x v="2"/>
  </r>
  <r>
    <s v="ITEM464"/>
    <s v="Rod"/>
    <s v="Raw Material"/>
    <x v="3"/>
    <n v="116"/>
    <n v="369"/>
    <n v="65"/>
    <n v="11"/>
    <n v="76.06"/>
    <n v="0.18"/>
    <n v="892"/>
    <n v="0.82"/>
    <n v="2"/>
    <n v="12.3"/>
    <n v="12.3"/>
    <n v="0.17615176151761516"/>
    <s v="Stable"/>
    <n v="215.58061137310099"/>
    <n v="238.880611373101"/>
    <n v="-122.880611373101"/>
    <s v=" Need to Order"/>
    <n v="4428"/>
    <n v="336793.68"/>
    <m/>
    <n v="7.5509210221182815E-4"/>
    <n v="0.940811909811759"/>
    <s v="B"/>
    <s v="X"/>
    <s v="BX"/>
    <s v="Standard Control"/>
    <s v="Weekly"/>
    <s v="Standard Replenishment"/>
    <s v="Low"/>
    <n v="30"/>
    <x v="1"/>
  </r>
  <r>
    <s v="ITEM365"/>
    <s v="Rod"/>
    <s v="Finished Goods"/>
    <x v="4"/>
    <n v="914"/>
    <n v="138"/>
    <n v="30"/>
    <n v="18"/>
    <n v="201.67"/>
    <n v="0.21"/>
    <n v="735"/>
    <n v="0.88"/>
    <n v="7"/>
    <n v="4.5999999999999996"/>
    <n v="4.5999999999999996"/>
    <n v="0.21739130434782608"/>
    <s v="Moderate"/>
    <n v="127.27922061357854"/>
    <n v="149.87922061357855"/>
    <n v="764.12077938642142"/>
    <s v=" Safe"/>
    <n v="1656"/>
    <n v="333965.51999999996"/>
    <m/>
    <n v="7.4875136185176131E-4"/>
    <n v="0.9415606611736107"/>
    <s v="B"/>
    <s v="Y"/>
    <s v="BY"/>
    <s v="Periodic Review"/>
    <s v="Bi-Weekly"/>
    <s v="Periodic Review"/>
    <s v="Low"/>
    <n v="40"/>
    <x v="1"/>
  </r>
  <r>
    <s v="ITEM192"/>
    <s v="Pipe B"/>
    <s v="Finished Goods"/>
    <x v="0"/>
    <n v="579"/>
    <n v="187"/>
    <n v="17"/>
    <n v="14"/>
    <n v="148.32"/>
    <n v="0.12"/>
    <n v="348"/>
    <n v="0.82"/>
    <n v="5"/>
    <n v="6.2333333333333334"/>
    <n v="6.2333333333333334"/>
    <n v="9.0909090909090912E-2"/>
    <s v="Stable"/>
    <n v="63.608175575157006"/>
    <n v="83.84150890849034"/>
    <n v="495.15849109150963"/>
    <s v=" Safe"/>
    <n v="2244"/>
    <n v="332830.07999999996"/>
    <m/>
    <n v="7.4620570310740661E-4"/>
    <n v="0.94230686687671816"/>
    <s v="B"/>
    <s v="X"/>
    <s v="BX"/>
    <s v="Standard Control"/>
    <s v="Weekly"/>
    <s v="Standard Replenishment"/>
    <s v="Low"/>
    <n v="40"/>
    <x v="1"/>
  </r>
  <r>
    <s v="ITEM436"/>
    <s v="Flange"/>
    <s v="Raw Material"/>
    <x v="1"/>
    <n v="466"/>
    <n v="264"/>
    <n v="44"/>
    <n v="1"/>
    <n v="104.73"/>
    <n v="0.21"/>
    <n v="913"/>
    <n v="0.94"/>
    <n v="6"/>
    <n v="8.8000000000000007"/>
    <n v="8.8000000000000007"/>
    <n v="0.16666666666666666"/>
    <s v="Stable"/>
    <n v="44"/>
    <n v="53.8"/>
    <n v="412.2"/>
    <s v=" Safe"/>
    <n v="3168"/>
    <n v="331784.64"/>
    <m/>
    <n v="7.4386182454253479E-4"/>
    <n v="0.94305072870126072"/>
    <s v="B"/>
    <s v="X"/>
    <s v="BX"/>
    <s v="Standard Control"/>
    <s v="Weekly"/>
    <s v="Standard Replenishment"/>
    <s v="Low"/>
    <n v="40"/>
    <x v="1"/>
  </r>
  <r>
    <s v="ITEM049"/>
    <s v="Pipe A"/>
    <s v="Raw Material"/>
    <x v="4"/>
    <n v="841"/>
    <n v="154"/>
    <n v="92"/>
    <n v="1"/>
    <n v="178.5"/>
    <n v="0.14000000000000001"/>
    <n v="959"/>
    <n v="0.81"/>
    <n v="7"/>
    <n v="5.1333333333333337"/>
    <n v="5.1333333333333337"/>
    <n v="0.59740259740259738"/>
    <s v="Highly veriable"/>
    <n v="92"/>
    <n v="98.13333333333334"/>
    <n v="742.86666666666667"/>
    <s v=" Safe"/>
    <n v="1848"/>
    <n v="329868"/>
    <m/>
    <n v="7.3956471384026951E-4"/>
    <n v="0.94379029341510101"/>
    <s v="B"/>
    <s v="Z"/>
    <s v="BZ"/>
    <s v="Risk Monitoring"/>
    <s v="Weekly Risk Review"/>
    <s v="Monitor Demand Variability"/>
    <s v="Medium"/>
    <n v="40"/>
    <x v="1"/>
  </r>
  <r>
    <s v="ITEM338"/>
    <s v="Sheet"/>
    <s v="Raw Material"/>
    <x v="3"/>
    <n v="504"/>
    <n v="275"/>
    <n v="100"/>
    <n v="26"/>
    <n v="99.76"/>
    <n v="0.15"/>
    <n v="385"/>
    <n v="0.71"/>
    <n v="1"/>
    <n v="9.1666666666666661"/>
    <n v="9.1666666666666661"/>
    <n v="0.36363636363636365"/>
    <s v="Moderate"/>
    <n v="509.90195135927843"/>
    <n v="545.06861802594506"/>
    <n v="-41.068618025945057"/>
    <s v=" Need to Order"/>
    <n v="3300"/>
    <n v="329208"/>
    <m/>
    <n v="7.3808499252406257E-4"/>
    <n v="0.94452837840762505"/>
    <s v="B"/>
    <s v="Y"/>
    <s v="BY"/>
    <s v="Periodic Review"/>
    <s v="Bi-Weekly"/>
    <s v="Periodic Review"/>
    <s v="Low"/>
    <n v="30"/>
    <x v="1"/>
  </r>
  <r>
    <s v="ITEM246"/>
    <s v="Rod"/>
    <s v="Finished Goods"/>
    <x v="1"/>
    <n v="135"/>
    <n v="262"/>
    <n v="70"/>
    <n v="12"/>
    <n v="104.29"/>
    <n v="0.18"/>
    <n v="105"/>
    <n v="0.89"/>
    <n v="5"/>
    <n v="8.7333333333333325"/>
    <n v="8.7333333333333325"/>
    <n v="0.26717557251908397"/>
    <s v="Moderate"/>
    <n v="242.48711305964281"/>
    <n v="263.22044639297616"/>
    <n v="-128.22044639297616"/>
    <s v=" Need to Order"/>
    <n v="3144"/>
    <n v="327887.76"/>
    <m/>
    <n v="7.3512501181116987E-4"/>
    <n v="0.94526350341943621"/>
    <s v="B"/>
    <s v="Y"/>
    <s v="BY"/>
    <s v="Periodic Review"/>
    <s v="Bi-Weekly"/>
    <s v="Periodic Review"/>
    <s v="Low"/>
    <n v="40"/>
    <x v="1"/>
  </r>
  <r>
    <s v="ITEM114"/>
    <s v="Pipe B"/>
    <s v="Finished Goods"/>
    <x v="2"/>
    <n v="939"/>
    <n v="71"/>
    <n v="60"/>
    <n v="11"/>
    <n v="384.69"/>
    <n v="0.22"/>
    <n v="249"/>
    <n v="0.89"/>
    <n v="6"/>
    <n v="2.3666666666666667"/>
    <n v="2.3666666666666667"/>
    <n v="0.84507042253521125"/>
    <s v="Highly veriable"/>
    <n v="198.997487421324"/>
    <n v="212.36415408799067"/>
    <n v="726.63584591200936"/>
    <s v=" Safe"/>
    <n v="852"/>
    <n v="327755.88"/>
    <m/>
    <n v="7.3482933658816781E-4"/>
    <n v="0.94599833275602441"/>
    <s v="B"/>
    <s v="Z"/>
    <s v="BZ"/>
    <s v="Risk Monitoring"/>
    <s v="Weekly Risk Review"/>
    <s v="Monitor Demand Variability"/>
    <s v="Medium"/>
    <n v="40"/>
    <x v="1"/>
  </r>
  <r>
    <s v="ITEM112"/>
    <s v="Tube"/>
    <s v="Raw Material"/>
    <x v="1"/>
    <n v="619"/>
    <n v="362"/>
    <n v="76"/>
    <n v="4"/>
    <n v="75.31"/>
    <n v="0.09"/>
    <n v="728"/>
    <n v="0.9"/>
    <n v="1"/>
    <n v="12.066666666666666"/>
    <n v="12.066666666666666"/>
    <n v="0.20994475138121546"/>
    <s v="Moderate"/>
    <n v="152"/>
    <n v="168.06666666666666"/>
    <n v="450.93333333333334"/>
    <s v=" Safe"/>
    <n v="4344"/>
    <n v="327146.64"/>
    <m/>
    <n v="7.334634192931891E-4"/>
    <n v="0.94673179617531755"/>
    <s v="B"/>
    <s v="Y"/>
    <s v="BY"/>
    <s v="Periodic Review"/>
    <s v="Bi-Weekly"/>
    <s v="Periodic Review"/>
    <s v="Low"/>
    <n v="30"/>
    <x v="1"/>
  </r>
  <r>
    <s v="ITEM254"/>
    <s v="Sheet"/>
    <s v="Finished Goods"/>
    <x v="3"/>
    <n v="455"/>
    <n v="329"/>
    <n v="19"/>
    <n v="3"/>
    <n v="82.24"/>
    <n v="0.15"/>
    <n v="227"/>
    <n v="0.88"/>
    <n v="7"/>
    <n v="10.966666666666667"/>
    <n v="10.966666666666667"/>
    <n v="5.7750759878419454E-2"/>
    <s v="Stable"/>
    <n v="32.908965343808667"/>
    <n v="46.875632010475336"/>
    <n v="408.12436798952467"/>
    <s v=" Safe"/>
    <n v="3948"/>
    <n v="324683.51999999996"/>
    <m/>
    <n v="7.2794109934110431E-4"/>
    <n v="0.94745973727465871"/>
    <s v="B"/>
    <s v="X"/>
    <s v="BX"/>
    <s v="Standard Control"/>
    <s v="Weekly"/>
    <s v="Standard Replenishment"/>
    <s v="Low"/>
    <n v="40"/>
    <x v="1"/>
  </r>
  <r>
    <s v="ITEM123"/>
    <s v="Rod"/>
    <s v="Finished Goods"/>
    <x v="1"/>
    <n v="999"/>
    <n v="149"/>
    <n v="75"/>
    <n v="6"/>
    <n v="181.17"/>
    <n v="0.1"/>
    <n v="183"/>
    <n v="0.74"/>
    <n v="4"/>
    <n v="4.9666666666666668"/>
    <n v="4.9666666666666668"/>
    <n v="0.50335570469798663"/>
    <s v="Highly veriable"/>
    <n v="183.71173070873834"/>
    <n v="194.67839737540501"/>
    <n v="804.32160262459502"/>
    <s v=" Safe"/>
    <n v="1788"/>
    <n v="323931.95999999996"/>
    <m/>
    <n v="7.2625610032230352E-4"/>
    <n v="0.948185993374981"/>
    <s v="B"/>
    <s v="Z"/>
    <s v="BZ"/>
    <s v="Risk Monitoring"/>
    <s v="Weekly Risk Review"/>
    <s v="Monitor Demand Variability"/>
    <s v="Medium"/>
    <n v="30"/>
    <x v="1"/>
  </r>
  <r>
    <s v="ITEM287"/>
    <s v="Pipe B"/>
    <s v="Raw Material"/>
    <x v="0"/>
    <n v="349"/>
    <n v="109"/>
    <n v="54"/>
    <n v="16"/>
    <n v="246.02"/>
    <n v="0.11"/>
    <n v="512"/>
    <n v="0.71"/>
    <n v="2"/>
    <n v="3.6333333333333333"/>
    <n v="3.6333333333333333"/>
    <n v="0.49541284403669728"/>
    <s v="Moderate"/>
    <n v="216"/>
    <n v="235.63333333333333"/>
    <n v="113.36666666666667"/>
    <s v=" Risk"/>
    <n v="1308"/>
    <n v="321794.16000000003"/>
    <m/>
    <n v="7.2146314845898945E-4"/>
    <n v="0.94890745652344"/>
    <s v="B"/>
    <s v="Y"/>
    <s v="BY"/>
    <s v="Periodic Review"/>
    <s v="Bi-Weekly"/>
    <s v="Periodic Review"/>
    <s v="Low"/>
    <n v="30"/>
    <x v="1"/>
  </r>
  <r>
    <s v="ITEM165"/>
    <s v="Valve"/>
    <s v="Finished Goods"/>
    <x v="3"/>
    <n v="153"/>
    <n v="373"/>
    <n v="26"/>
    <n v="24"/>
    <n v="71.489999999999995"/>
    <n v="0.11"/>
    <n v="263"/>
    <n v="0.87"/>
    <n v="3"/>
    <n v="12.433333333333334"/>
    <n v="12.433333333333334"/>
    <n v="6.9705093833780166E-2"/>
    <s v="Stable"/>
    <n v="127.37346662472525"/>
    <n v="163.8067999580586"/>
    <n v="-10.806799958058605"/>
    <s v=" Need to Order"/>
    <n v="4476"/>
    <n v="319989.24"/>
    <m/>
    <n v="7.1741651421952212E-4"/>
    <n v="0.94962487303765952"/>
    <s v="B"/>
    <s v="X"/>
    <s v="BX"/>
    <s v="Standard Control"/>
    <s v="Weekly"/>
    <s v="Standard Replenishment"/>
    <s v="Low"/>
    <n v="30"/>
    <x v="1"/>
  </r>
  <r>
    <s v="ITEM047"/>
    <s v="Connector"/>
    <s v="Raw Material"/>
    <x v="4"/>
    <n v="790"/>
    <n v="379"/>
    <n v="82"/>
    <n v="21"/>
    <n v="70.33"/>
    <n v="0.17"/>
    <n v="770"/>
    <n v="0.92"/>
    <n v="1"/>
    <n v="12.633333333333333"/>
    <n v="12.633333333333333"/>
    <n v="0.21635883905013192"/>
    <s v="Moderate"/>
    <n v="375.77120698637884"/>
    <n v="409.40454031971217"/>
    <n v="380.59545968028783"/>
    <s v=" Safe"/>
    <n v="4548"/>
    <n v="319860.83999999997"/>
    <m/>
    <n v="7.1712864116346003E-4"/>
    <n v="0.95034200167882299"/>
    <s v="C"/>
    <s v="Y"/>
    <s v="CY"/>
    <s v="Low-Priority Monitoring"/>
    <s v="Monthly Review"/>
    <s v="Low Priority Monitoring"/>
    <s v="Low"/>
    <n v="30"/>
    <x v="1"/>
  </r>
  <r>
    <s v="ITEM032"/>
    <s v="Tube"/>
    <s v="Raw Material"/>
    <x v="1"/>
    <n v="864"/>
    <n v="418"/>
    <n v="97"/>
    <n v="1"/>
    <n v="63.54"/>
    <n v="0.08"/>
    <n v="369"/>
    <n v="0.92"/>
    <n v="7"/>
    <n v="13.933333333333334"/>
    <n v="13.933333333333334"/>
    <n v="0.23205741626794257"/>
    <s v="Moderate"/>
    <n v="97"/>
    <n v="111.93333333333334"/>
    <n v="752.06666666666661"/>
    <s v=" Safe"/>
    <n v="5016"/>
    <n v="318716.64"/>
    <m/>
    <n v="7.145633424816357E-4"/>
    <n v="0.95105656502130465"/>
    <s v="C"/>
    <s v="Y"/>
    <s v="CY"/>
    <s v="Low-Priority Monitoring"/>
    <s v="Monthly Review"/>
    <s v="Low Priority Monitoring"/>
    <s v="Low"/>
    <n v="40"/>
    <x v="1"/>
  </r>
  <r>
    <s v="ITEM024"/>
    <s v="Tube"/>
    <s v="Raw Material"/>
    <x v="1"/>
    <n v="775"/>
    <n v="128"/>
    <n v="36"/>
    <n v="23"/>
    <n v="205.53"/>
    <n v="0.15"/>
    <n v="447"/>
    <n v="0.79"/>
    <n v="8"/>
    <n v="4.2666666666666666"/>
    <n v="4.2666666666666666"/>
    <n v="0.28125"/>
    <s v="Moderate"/>
    <n v="172.6499348392579"/>
    <n v="199.91660150592458"/>
    <n v="575.08339849407548"/>
    <s v=" Safe"/>
    <n v="1536"/>
    <n v="315694.08000000002"/>
    <m/>
    <n v="7.0778675693388619E-4"/>
    <n v="0.95176435177823848"/>
    <s v="C"/>
    <s v="Y"/>
    <s v="CY"/>
    <s v="Low-Priority Monitoring"/>
    <s v="Monthly Review"/>
    <s v="Low Priority Monitoring"/>
    <s v="Low"/>
    <n v="50"/>
    <x v="2"/>
  </r>
  <r>
    <s v="ITEM033"/>
    <s v="Connector"/>
    <s v="Raw Material"/>
    <x v="1"/>
    <n v="872"/>
    <n v="209"/>
    <n v="9"/>
    <n v="2"/>
    <n v="124.49"/>
    <n v="0.25"/>
    <n v="645"/>
    <n v="0.86"/>
    <n v="6"/>
    <n v="6.9666666666666668"/>
    <n v="6.9666666666666668"/>
    <n v="4.3062200956937802E-2"/>
    <s v="Stable"/>
    <n v="12.727922061357857"/>
    <n v="21.694588728024524"/>
    <n v="850.30541127197546"/>
    <s v=" Safe"/>
    <n v="2508"/>
    <n v="312220.92"/>
    <m/>
    <n v="6.9999992528752616E-4"/>
    <n v="0.95246435170352606"/>
    <s v="C"/>
    <s v="X"/>
    <s v="CX"/>
    <s v="Simplified Bulk Control"/>
    <s v="Monthly"/>
    <s v="Bulk Ordering"/>
    <s v="Low"/>
    <n v="40"/>
    <x v="1"/>
  </r>
  <r>
    <s v="ITEM298"/>
    <s v="Pipe B"/>
    <s v="Raw Material"/>
    <x v="0"/>
    <n v="35"/>
    <n v="83"/>
    <n v="96"/>
    <n v="11"/>
    <n v="312.33999999999997"/>
    <n v="0.21"/>
    <n v="158"/>
    <n v="0.85"/>
    <n v="6"/>
    <n v="2.7666666666666666"/>
    <n v="2.7666666666666666"/>
    <n v="1.1566265060240963"/>
    <s v="Highly veriable"/>
    <n v="318.39597987411838"/>
    <n v="332.16264654078503"/>
    <n v="-297.16264654078503"/>
    <s v=" Need to Order"/>
    <n v="996"/>
    <n v="311090.63999999996"/>
    <m/>
    <n v="6.9746583527346181E-4"/>
    <n v="0.95316181753879947"/>
    <s v="C"/>
    <s v="Z"/>
    <s v="CZ"/>
    <s v="Minimal Control"/>
    <s v="Quarterly"/>
    <s v="Reduce Inventory Exposure"/>
    <s v="Low"/>
    <n v="40"/>
    <x v="1"/>
  </r>
  <r>
    <s v="ITEM294"/>
    <s v="Pipe B"/>
    <s v="Finished Goods"/>
    <x v="1"/>
    <n v="422"/>
    <n v="73"/>
    <n v="30"/>
    <n v="22"/>
    <n v="351.5"/>
    <n v="0.24"/>
    <n v="354"/>
    <n v="0.75"/>
    <n v="6"/>
    <n v="2.4333333333333331"/>
    <n v="2.4333333333333331"/>
    <n v="0.41095890410958902"/>
    <s v="Moderate"/>
    <n v="140.7124727947029"/>
    <n v="165.14580612803624"/>
    <n v="256.85419387196373"/>
    <s v=" Safe"/>
    <n v="876"/>
    <n v="307914"/>
    <m/>
    <n v="6.9034380205843784E-4"/>
    <n v="0.95385216134085793"/>
    <s v="C"/>
    <s v="Y"/>
    <s v="CY"/>
    <s v="Low-Priority Monitoring"/>
    <s v="Monthly Review"/>
    <s v="Low Priority Monitoring"/>
    <s v="Low"/>
    <n v="40"/>
    <x v="1"/>
  </r>
  <r>
    <s v="ITEM022"/>
    <s v="Connector"/>
    <s v="Finished Goods"/>
    <x v="3"/>
    <n v="937"/>
    <n v="78"/>
    <n v="69"/>
    <n v="28"/>
    <n v="328.49"/>
    <n v="0.17"/>
    <n v="781"/>
    <n v="0.71"/>
    <n v="3"/>
    <n v="2.6"/>
    <n v="2.6"/>
    <n v="0.88461538461538458"/>
    <s v="Highly veriable"/>
    <n v="365.1136809269135"/>
    <n v="395.71368092691353"/>
    <n v="541.28631907308647"/>
    <s v=" Safe"/>
    <n v="936"/>
    <n v="307466.64"/>
    <m/>
    <n v="6.8934082004628878E-4"/>
    <n v="0.95454150216090417"/>
    <s v="C"/>
    <s v="Z"/>
    <s v="CZ"/>
    <s v="Minimal Control"/>
    <s v="Quarterly"/>
    <s v="Reduce Inventory Exposure"/>
    <s v="Low"/>
    <n v="30"/>
    <x v="1"/>
  </r>
  <r>
    <s v="ITEM431"/>
    <s v="Flange"/>
    <s v="Finished Goods"/>
    <x v="2"/>
    <n v="364"/>
    <n v="445"/>
    <n v="5"/>
    <n v="10"/>
    <n v="57.2"/>
    <n v="0.24"/>
    <n v="134"/>
    <n v="0.8"/>
    <n v="5"/>
    <n v="14.833333333333334"/>
    <n v="14.833333333333334"/>
    <n v="1.1235955056179775E-2"/>
    <s v="Stable"/>
    <n v="15.811388300841898"/>
    <n v="40.644721634175234"/>
    <n v="323.35527836582474"/>
    <s v=" Safe"/>
    <n v="5340"/>
    <n v="305448"/>
    <m/>
    <n v="6.8481502514060972E-4"/>
    <n v="0.95522631718604478"/>
    <s v="C"/>
    <s v="X"/>
    <s v="CX"/>
    <s v="Simplified Bulk Control"/>
    <s v="Monthly"/>
    <s v="Bulk Ordering"/>
    <s v="Low"/>
    <n v="40"/>
    <x v="1"/>
  </r>
  <r>
    <s v="ITEM384"/>
    <s v="Flange"/>
    <s v="Raw Material"/>
    <x v="2"/>
    <n v="253"/>
    <n v="409"/>
    <n v="87"/>
    <n v="7"/>
    <n v="62.16"/>
    <n v="0.2"/>
    <n v="740"/>
    <n v="0.76"/>
    <n v="8"/>
    <n v="13.633333333333333"/>
    <n v="13.633333333333333"/>
    <n v="0.21271393643031786"/>
    <s v="Moderate"/>
    <n v="230.18036406261939"/>
    <n v="250.81369739595272"/>
    <n v="2.1863026040472846"/>
    <s v=" Risk"/>
    <n v="4908"/>
    <n v="305081.27999999997"/>
    <m/>
    <n v="6.8399283816927717E-4"/>
    <n v="0.955910310024214"/>
    <s v="C"/>
    <s v="Y"/>
    <s v="CY"/>
    <s v="Low-Priority Monitoring"/>
    <s v="Monthly Review"/>
    <s v="Low Priority Monitoring"/>
    <s v="Low"/>
    <n v="50"/>
    <x v="2"/>
  </r>
  <r>
    <s v="ITEM381"/>
    <s v="Pipe B"/>
    <s v="Finished Goods"/>
    <x v="2"/>
    <n v="27"/>
    <n v="454"/>
    <n v="83"/>
    <n v="25"/>
    <n v="55.91"/>
    <n v="0.23"/>
    <n v="594"/>
    <n v="0.78"/>
    <n v="6"/>
    <n v="15.133333333333333"/>
    <n v="15.133333333333333"/>
    <n v="0.1828193832599119"/>
    <s v="Stable"/>
    <n v="415"/>
    <n v="455.13333333333333"/>
    <n v="-428.13333333333333"/>
    <s v=" Need to Order"/>
    <n v="5448"/>
    <n v="304597.68"/>
    <m/>
    <n v="6.8290860600485651E-4"/>
    <n v="0.95659321863021884"/>
    <s v="C"/>
    <s v="X"/>
    <s v="CX"/>
    <s v="Simplified Bulk Control"/>
    <s v="Monthly"/>
    <s v="Bulk Ordering"/>
    <s v="Low"/>
    <n v="40"/>
    <x v="1"/>
  </r>
  <r>
    <s v="ITEM136"/>
    <s v="Connector"/>
    <s v="Raw Material"/>
    <x v="0"/>
    <n v="948"/>
    <n v="109"/>
    <n v="47"/>
    <n v="4"/>
    <n v="232.87"/>
    <n v="0.24"/>
    <n v="871"/>
    <n v="0.82"/>
    <n v="6"/>
    <n v="3.6333333333333333"/>
    <n v="3.6333333333333333"/>
    <n v="0.43119266055045874"/>
    <s v="Moderate"/>
    <n v="94"/>
    <n v="101.63333333333333"/>
    <n v="846.36666666666667"/>
    <s v=" Safe"/>
    <n v="1308"/>
    <n v="304593.96000000002"/>
    <m/>
    <n v="6.8290026575743793E-4"/>
    <n v="0.9572761188959763"/>
    <s v="C"/>
    <s v="Y"/>
    <s v="CY"/>
    <s v="Low-Priority Monitoring"/>
    <s v="Monthly Review"/>
    <s v="Low Priority Monitoring"/>
    <s v="Low"/>
    <n v="40"/>
    <x v="1"/>
  </r>
  <r>
    <s v="ITEM236"/>
    <s v="Pipe A"/>
    <s v="Raw Material"/>
    <x v="0"/>
    <n v="418"/>
    <n v="68"/>
    <n v="56"/>
    <n v="2"/>
    <n v="369.04"/>
    <n v="0.11"/>
    <n v="624"/>
    <n v="0.76"/>
    <n v="3"/>
    <n v="2.2666666666666666"/>
    <n v="2.2666666666666666"/>
    <n v="0.82352941176470584"/>
    <s v="Highly veriable"/>
    <n v="79.195959492893323"/>
    <n v="83.462626159559989"/>
    <n v="334.53737384044001"/>
    <s v=" Safe"/>
    <n v="816"/>
    <n v="301136.64000000001"/>
    <m/>
    <n v="6.7514894742266688E-4"/>
    <n v="0.95795126784339901"/>
    <s v="C"/>
    <s v="Z"/>
    <s v="CZ"/>
    <s v="Minimal Control"/>
    <s v="Quarterly"/>
    <s v="Reduce Inventory Exposure"/>
    <s v="Low"/>
    <n v="30"/>
    <x v="1"/>
  </r>
  <r>
    <s v="ITEM347"/>
    <s v="Pipe B"/>
    <s v="Finished Goods"/>
    <x v="4"/>
    <n v="394"/>
    <n v="60"/>
    <n v="53"/>
    <n v="27"/>
    <n v="414.93"/>
    <n v="0.08"/>
    <n v="389"/>
    <n v="0.96"/>
    <n v="1"/>
    <n v="2"/>
    <n v="2"/>
    <n v="0.8833333333333333"/>
    <s v="Highly veriable"/>
    <n v="275.3960784034515"/>
    <n v="304.3960784034515"/>
    <n v="89.603921596548503"/>
    <s v=" Risk"/>
    <n v="720"/>
    <n v="298749.59999999998"/>
    <m/>
    <n v="6.69797198982305E-4"/>
    <n v="0.95862106504238132"/>
    <s v="C"/>
    <s v="Z"/>
    <s v="CZ"/>
    <s v="Minimal Control"/>
    <s v="Quarterly"/>
    <s v="Reduce Inventory Exposure"/>
    <s v="Low"/>
    <n v="30"/>
    <x v="1"/>
  </r>
  <r>
    <s v="ITEM368"/>
    <s v="Valve"/>
    <s v="Finished Goods"/>
    <x v="0"/>
    <n v="829"/>
    <n v="451"/>
    <n v="47"/>
    <n v="18"/>
    <n v="53.98"/>
    <n v="0.11"/>
    <n v="733"/>
    <n v="0.79"/>
    <n v="6"/>
    <n v="15.033333333333333"/>
    <n v="15.033333333333333"/>
    <n v="0.10421286031042129"/>
    <s v="Stable"/>
    <n v="199.40411229460639"/>
    <n v="232.43744562793972"/>
    <n v="596.56255437206028"/>
    <s v=" Safe"/>
    <n v="5412"/>
    <n v="292139.76"/>
    <m/>
    <n v="6.5497792452061138E-4"/>
    <n v="0.95927604296690194"/>
    <s v="C"/>
    <s v="X"/>
    <s v="CX"/>
    <s v="Simplified Bulk Control"/>
    <s v="Monthly"/>
    <s v="Bulk Ordering"/>
    <s v="Low"/>
    <n v="40"/>
    <x v="1"/>
  </r>
  <r>
    <s v="ITEM145"/>
    <s v="Tube"/>
    <s v="Raw Material"/>
    <x v="2"/>
    <n v="313"/>
    <n v="72"/>
    <n v="74"/>
    <n v="28"/>
    <n v="337.84"/>
    <n v="0.15"/>
    <n v="448"/>
    <n v="0.72"/>
    <n v="9"/>
    <n v="2.4"/>
    <n v="2.4"/>
    <n v="1.0277777777777777"/>
    <s v="Highly veriable"/>
    <n v="391.57119403755945"/>
    <n v="421.97119403755943"/>
    <n v="-108.97119403755943"/>
    <s v=" Need to Order"/>
    <n v="864"/>
    <n v="291893.75999999995"/>
    <m/>
    <n v="6.5442639203002503E-4"/>
    <n v="0.959930469358932"/>
    <s v="C"/>
    <s v="Z"/>
    <s v="CZ"/>
    <s v="Minimal Control"/>
    <s v="Quarterly"/>
    <s v="Reduce Inventory Exposure"/>
    <s v="Low"/>
    <n v="50"/>
    <x v="2"/>
  </r>
  <r>
    <s v="ITEM025"/>
    <s v="Connector"/>
    <s v="Raw Material"/>
    <x v="1"/>
    <n v="846"/>
    <n v="147"/>
    <n v="39"/>
    <n v="29"/>
    <n v="165.41"/>
    <n v="0.21"/>
    <n v="792"/>
    <n v="0.85"/>
    <n v="7"/>
    <n v="4.9000000000000004"/>
    <n v="4.9000000000000004"/>
    <n v="0.26530612244897961"/>
    <s v="Moderate"/>
    <n v="210.02142747824564"/>
    <n v="243.92142747824565"/>
    <n v="602.07857252175438"/>
    <s v=" Safe"/>
    <n v="1764"/>
    <n v="291783.24"/>
    <m/>
    <n v="6.5417860596962024E-4"/>
    <n v="0.96058464796490162"/>
    <s v="C"/>
    <s v="Y"/>
    <s v="CY"/>
    <s v="Low-Priority Monitoring"/>
    <s v="Monthly Review"/>
    <s v="Low Priority Monitoring"/>
    <s v="Low"/>
    <n v="40"/>
    <x v="1"/>
  </r>
  <r>
    <s v="ITEM238"/>
    <s v="Pipe B"/>
    <s v="Raw Material"/>
    <x v="0"/>
    <n v="59"/>
    <n v="136"/>
    <n v="27"/>
    <n v="12"/>
    <n v="177.84"/>
    <n v="0.14000000000000001"/>
    <n v="374"/>
    <n v="0.74"/>
    <n v="10"/>
    <n v="4.5333333333333332"/>
    <n v="4.5333333333333332"/>
    <n v="0.19852941176470587"/>
    <s v="Stable"/>
    <n v="93.530743608719362"/>
    <n v="110.06407694205269"/>
    <n v="-51.064076942052694"/>
    <s v=" Need to Order"/>
    <n v="1632"/>
    <n v="290234.88"/>
    <m/>
    <n v="6.5070717976179859E-4"/>
    <n v="0.96123535514466341"/>
    <s v="C"/>
    <s v="X"/>
    <s v="CX"/>
    <s v="Simplified Bulk Control"/>
    <s v="Monthly"/>
    <s v="Bulk Ordering"/>
    <s v="Low"/>
    <n v="50"/>
    <x v="2"/>
  </r>
  <r>
    <s v="ITEM405"/>
    <s v="Valve"/>
    <s v="Raw Material"/>
    <x v="3"/>
    <n v="216"/>
    <n v="157"/>
    <n v="69"/>
    <n v="22"/>
    <n v="153.4"/>
    <n v="0.08"/>
    <n v="145"/>
    <n v="0.7"/>
    <n v="8"/>
    <n v="5.2333333333333334"/>
    <n v="5.2333333333333334"/>
    <n v="0.43949044585987262"/>
    <s v="Moderate"/>
    <n v="323.63868742781665"/>
    <n v="350.87202076115"/>
    <n v="-134.87202076115"/>
    <s v=" Need to Order"/>
    <n v="1884"/>
    <n v="289005.60000000003"/>
    <m/>
    <n v="6.4795113155030322E-4"/>
    <n v="0.96188330627621366"/>
    <s v="C"/>
    <s v="Y"/>
    <s v="CY"/>
    <s v="Low-Priority Monitoring"/>
    <s v="Monthly Review"/>
    <s v="Low Priority Monitoring"/>
    <s v="Low"/>
    <n v="50"/>
    <x v="2"/>
  </r>
  <r>
    <s v="ITEM491"/>
    <s v="Tube"/>
    <s v="Finished Goods"/>
    <x v="0"/>
    <n v="788"/>
    <n v="420"/>
    <n v="88"/>
    <n v="5"/>
    <n v="57.12"/>
    <n v="7.0000000000000007E-2"/>
    <n v="674"/>
    <n v="0.71"/>
    <n v="7"/>
    <n v="14"/>
    <n v="14"/>
    <n v="0.20952380952380953"/>
    <s v="Moderate"/>
    <n v="196.7739820199815"/>
    <n v="215.7739820199815"/>
    <n v="572.22601798001847"/>
    <s v=" Safe"/>
    <n v="5040"/>
    <n v="287884.79999999999"/>
    <m/>
    <n v="6.4543829571514434E-4"/>
    <n v="0.96252874457192883"/>
    <s v="C"/>
    <s v="Y"/>
    <s v="CY"/>
    <s v="Low-Priority Monitoring"/>
    <s v="Monthly Review"/>
    <s v="Low Priority Monitoring"/>
    <s v="Low"/>
    <n v="40"/>
    <x v="1"/>
  </r>
  <r>
    <s v="ITEM466"/>
    <s v="Valve"/>
    <s v="Finished Goods"/>
    <x v="1"/>
    <n v="407"/>
    <n v="455"/>
    <n v="80"/>
    <n v="12"/>
    <n v="52.58"/>
    <n v="0.23"/>
    <n v="417"/>
    <n v="0.78"/>
    <n v="2"/>
    <n v="15.166666666666666"/>
    <n v="15.166666666666666"/>
    <n v="0.17582417582417584"/>
    <s v="Stable"/>
    <n v="277.12812921102034"/>
    <n v="304.29479587768702"/>
    <n v="102.70520412231298"/>
    <s v=" Risk"/>
    <n v="5460"/>
    <n v="287086.8"/>
    <m/>
    <n v="6.4364917812373033E-4"/>
    <n v="0.96317239375005259"/>
    <s v="C"/>
    <s v="X"/>
    <s v="CX"/>
    <s v="Simplified Bulk Control"/>
    <s v="Monthly"/>
    <s v="Bulk Ordering"/>
    <s v="Low"/>
    <n v="30"/>
    <x v="1"/>
  </r>
  <r>
    <s v="ITEM026"/>
    <s v="Flange"/>
    <s v="Raw Material"/>
    <x v="0"/>
    <n v="416"/>
    <n v="74"/>
    <n v="21"/>
    <n v="3"/>
    <n v="316.60000000000002"/>
    <n v="0.22"/>
    <n v="158"/>
    <n v="0.77"/>
    <n v="6"/>
    <n v="2.4666666666666668"/>
    <n v="2.4666666666666668"/>
    <n v="0.28378378378378377"/>
    <s v="Moderate"/>
    <n v="36.373066958946424"/>
    <n v="41.839733625613093"/>
    <n v="374.16026637438688"/>
    <s v=" Safe"/>
    <n v="888"/>
    <n v="281140.80000000005"/>
    <m/>
    <n v="6.3031823426590175E-4"/>
    <n v="0.96380271198431844"/>
    <s v="C"/>
    <s v="Y"/>
    <s v="CY"/>
    <s v="Low-Priority Monitoring"/>
    <s v="Monthly Review"/>
    <s v="Low Priority Monitoring"/>
    <s v="Low"/>
    <n v="40"/>
    <x v="1"/>
  </r>
  <r>
    <s v="ITEM062"/>
    <s v="Connector"/>
    <s v="Raw Material"/>
    <x v="3"/>
    <n v="957"/>
    <n v="174"/>
    <n v="24"/>
    <n v="22"/>
    <n v="134.22"/>
    <n v="7.0000000000000007E-2"/>
    <n v="693"/>
    <n v="0.86"/>
    <n v="10"/>
    <n v="5.8"/>
    <n v="5.8"/>
    <n v="0.13793103448275862"/>
    <s v="Stable"/>
    <n v="112.56997823576231"/>
    <n v="140.36997823576232"/>
    <n v="816.63002176423765"/>
    <s v=" Safe"/>
    <n v="2088"/>
    <n v="280251.36"/>
    <m/>
    <n v="6.2832410801213318E-4"/>
    <n v="0.96443103609233061"/>
    <s v="C"/>
    <s v="X"/>
    <s v="CX"/>
    <s v="Simplified Bulk Control"/>
    <s v="Monthly"/>
    <s v="Bulk Ordering"/>
    <s v="Low"/>
    <n v="50"/>
    <x v="2"/>
  </r>
  <r>
    <s v="ITEM277"/>
    <s v="Pipe A"/>
    <s v="Finished Goods"/>
    <x v="0"/>
    <n v="197"/>
    <n v="58"/>
    <n v="56"/>
    <n v="25"/>
    <n v="396.96"/>
    <n v="0.14000000000000001"/>
    <n v="520"/>
    <n v="0.96"/>
    <n v="3"/>
    <n v="1.9333333333333333"/>
    <n v="1.9333333333333333"/>
    <n v="0.96551724137931039"/>
    <s v="Highly veriable"/>
    <n v="280"/>
    <n v="306.93333333333334"/>
    <n v="-109.93333333333334"/>
    <s v=" Need to Order"/>
    <n v="696"/>
    <n v="276284.15999999997"/>
    <m/>
    <n v="6.1942963770053247E-4"/>
    <n v="0.96505046573003117"/>
    <s v="C"/>
    <s v="Z"/>
    <s v="CZ"/>
    <s v="Minimal Control"/>
    <s v="Quarterly"/>
    <s v="Reduce Inventory Exposure"/>
    <s v="Low"/>
    <n v="30"/>
    <x v="1"/>
  </r>
  <r>
    <s v="ITEM218"/>
    <s v="Connector"/>
    <s v="Raw Material"/>
    <x v="3"/>
    <n v="445"/>
    <n v="131"/>
    <n v="77"/>
    <n v="30"/>
    <n v="175.56"/>
    <n v="0.17"/>
    <n v="319"/>
    <n v="0.86"/>
    <n v="9"/>
    <n v="4.3666666666666663"/>
    <n v="4.3666666666666663"/>
    <n v="0.58778625954198471"/>
    <s v="Highly veriable"/>
    <n v="421.74636927897791"/>
    <n v="456.11303594564458"/>
    <n v="-11.113035945644583"/>
    <s v=" Need to Order"/>
    <n v="1572"/>
    <n v="275980.32"/>
    <m/>
    <n v="6.1874842781459865E-4"/>
    <n v="0.96566921415784579"/>
    <s v="C"/>
    <s v="Z"/>
    <s v="CZ"/>
    <s v="Minimal Control"/>
    <s v="Quarterly"/>
    <s v="Reduce Inventory Exposure"/>
    <s v="Low"/>
    <n v="50"/>
    <x v="2"/>
  </r>
  <r>
    <s v="ITEM256"/>
    <s v="Sheet"/>
    <s v="Raw Material"/>
    <x v="0"/>
    <n v="546"/>
    <n v="71"/>
    <n v="84"/>
    <n v="20"/>
    <n v="323.43"/>
    <n v="0.18"/>
    <n v="643"/>
    <n v="0.72"/>
    <n v="10"/>
    <n v="2.3666666666666667"/>
    <n v="2.3666666666666667"/>
    <n v="1.1830985915492958"/>
    <s v="Highly veriable"/>
    <n v="375.65942021996466"/>
    <n v="398.02608688663133"/>
    <n v="147.97391311336867"/>
    <s v=" Risk"/>
    <n v="852"/>
    <n v="275562.36"/>
    <m/>
    <n v="6.1781136066108055E-4"/>
    <n v="0.96628702551850687"/>
    <s v="C"/>
    <s v="Z"/>
    <s v="CZ"/>
    <s v="Minimal Control"/>
    <s v="Quarterly"/>
    <s v="Reduce Inventory Exposure"/>
    <s v="Low"/>
    <n v="50"/>
    <x v="2"/>
  </r>
  <r>
    <s v="ITEM377"/>
    <s v="Rod"/>
    <s v="Raw Material"/>
    <x v="2"/>
    <n v="688"/>
    <n v="282"/>
    <n v="20"/>
    <n v="10"/>
    <n v="79.91"/>
    <n v="0.13"/>
    <n v="151"/>
    <n v="0.82"/>
    <n v="6"/>
    <n v="9.4"/>
    <n v="9.4"/>
    <n v="7.0921985815602842E-2"/>
    <s v="Stable"/>
    <n v="63.245553203367592"/>
    <n v="82.645553203367598"/>
    <n v="605.35444679663237"/>
    <s v=" Safe"/>
    <n v="3384"/>
    <n v="270415.44"/>
    <m/>
    <n v="6.0627195575681963E-4"/>
    <n v="0.96689329747426367"/>
    <s v="C"/>
    <s v="X"/>
    <s v="CX"/>
    <s v="Simplified Bulk Control"/>
    <s v="Monthly"/>
    <s v="Bulk Ordering"/>
    <s v="Low"/>
    <n v="40"/>
    <x v="1"/>
  </r>
  <r>
    <s v="ITEM414"/>
    <s v="Connector"/>
    <s v="Finished Goods"/>
    <x v="1"/>
    <n v="36"/>
    <n v="258"/>
    <n v="98"/>
    <n v="2"/>
    <n v="86.68"/>
    <n v="7.0000000000000007E-2"/>
    <n v="112"/>
    <n v="0.72"/>
    <n v="7"/>
    <n v="8.6"/>
    <n v="8.6"/>
    <n v="0.37984496124031009"/>
    <s v="Moderate"/>
    <n v="138.59292911256333"/>
    <n v="149.19292911256332"/>
    <n v="-113.19292911256332"/>
    <s v=" Need to Order"/>
    <n v="3096"/>
    <n v="268361.28000000003"/>
    <m/>
    <n v="6.0166652494030482E-4"/>
    <n v="0.96749496399920398"/>
    <s v="C"/>
    <s v="Y"/>
    <s v="CY"/>
    <s v="Low-Priority Monitoring"/>
    <s v="Monthly Review"/>
    <s v="Low Priority Monitoring"/>
    <s v="Low"/>
    <n v="40"/>
    <x v="1"/>
  </r>
  <r>
    <s v="ITEM441"/>
    <s v="Tube"/>
    <s v="Finished Goods"/>
    <x v="3"/>
    <n v="537"/>
    <n v="193"/>
    <n v="60"/>
    <n v="19"/>
    <n v="113.93"/>
    <n v="0.14000000000000001"/>
    <n v="594"/>
    <n v="0.9"/>
    <n v="7"/>
    <n v="6.4333333333333336"/>
    <n v="6.4333333333333336"/>
    <n v="0.31088082901554404"/>
    <s v="Moderate"/>
    <n v="261.53393661244041"/>
    <n v="286.96726994577375"/>
    <n v="250.03273005422625"/>
    <s v=" Risk"/>
    <n v="2316"/>
    <n v="263861.88"/>
    <m/>
    <n v="5.9157886116736251E-4"/>
    <n v="0.96808654286037132"/>
    <s v="C"/>
    <s v="Y"/>
    <s v="CY"/>
    <s v="Low-Priority Monitoring"/>
    <s v="Monthly Review"/>
    <s v="Low Priority Monitoring"/>
    <s v="Low"/>
    <n v="40"/>
    <x v="1"/>
  </r>
  <r>
    <s v="ITEM044"/>
    <s v="Pipe A"/>
    <s v="Raw Material"/>
    <x v="1"/>
    <n v="130"/>
    <n v="123"/>
    <n v="50"/>
    <n v="4"/>
    <n v="176.64"/>
    <n v="0.13"/>
    <n v="606"/>
    <n v="0.79"/>
    <n v="1"/>
    <n v="4.0999999999999996"/>
    <n v="4.0999999999999996"/>
    <n v="0.4065040650406504"/>
    <s v="Moderate"/>
    <n v="100"/>
    <n v="108.1"/>
    <n v="21.900000000000006"/>
    <s v=" Risk"/>
    <n v="1476"/>
    <n v="260720.63999999998"/>
    <m/>
    <n v="5.8453619482293499E-4"/>
    <n v="0.96867107905519423"/>
    <s v="C"/>
    <s v="Y"/>
    <s v="CY"/>
    <s v="Low-Priority Monitoring"/>
    <s v="Monthly Review"/>
    <s v="Low Priority Monitoring"/>
    <s v="Low"/>
    <n v="30"/>
    <x v="1"/>
  </r>
  <r>
    <s v="ITEM387"/>
    <s v="Valve"/>
    <s v="Finished Goods"/>
    <x v="1"/>
    <n v="252"/>
    <n v="167"/>
    <n v="66"/>
    <n v="17"/>
    <n v="129.53"/>
    <n v="0.12"/>
    <n v="319"/>
    <n v="0.8"/>
    <n v="4"/>
    <n v="5.5666666666666664"/>
    <n v="5.5666666666666664"/>
    <n v="0.39520958083832336"/>
    <s v="Moderate"/>
    <n v="272.12497129076559"/>
    <n v="294.69163795743225"/>
    <n v="-42.691637957432249"/>
    <s v=" Need to Order"/>
    <n v="2004"/>
    <n v="259578.12"/>
    <m/>
    <n v="5.8197466270446105E-4"/>
    <n v="0.96925305371789872"/>
    <s v="C"/>
    <s v="Y"/>
    <s v="CY"/>
    <s v="Low-Priority Monitoring"/>
    <s v="Monthly Review"/>
    <s v="Low Priority Monitoring"/>
    <s v="Low"/>
    <n v="30"/>
    <x v="1"/>
  </r>
  <r>
    <s v="ITEM433"/>
    <s v="Flange"/>
    <s v="Raw Material"/>
    <x v="2"/>
    <n v="847"/>
    <n v="57"/>
    <n v="6"/>
    <n v="26"/>
    <n v="378.17"/>
    <n v="0.17"/>
    <n v="820"/>
    <n v="0.73"/>
    <n v="6"/>
    <n v="1.9"/>
    <n v="1.9"/>
    <n v="0.10526315789473684"/>
    <s v="Stable"/>
    <n v="30.594117081556707"/>
    <n v="58.494117081556709"/>
    <n v="788.50588291844326"/>
    <s v=" Safe"/>
    <n v="684"/>
    <n v="258668.28"/>
    <m/>
    <n v="5.7993479961000987E-4"/>
    <n v="0.96983298851750877"/>
    <s v="C"/>
    <s v="X"/>
    <s v="CX"/>
    <s v="Simplified Bulk Control"/>
    <s v="Monthly"/>
    <s v="Bulk Ordering"/>
    <s v="Low"/>
    <n v="40"/>
    <x v="1"/>
  </r>
  <r>
    <s v="ITEM241"/>
    <s v="Valve"/>
    <s v="Raw Material"/>
    <x v="3"/>
    <n v="333"/>
    <n v="83"/>
    <n v="39"/>
    <n v="30"/>
    <n v="257.83"/>
    <n v="0.09"/>
    <n v="692"/>
    <n v="0.81"/>
    <n v="7"/>
    <n v="2.7666666666666666"/>
    <n v="2.7666666666666666"/>
    <n v="0.46987951807228917"/>
    <s v="Moderate"/>
    <n v="213.61179742701478"/>
    <n v="246.37846409368143"/>
    <n v="86.62153590631857"/>
    <s v=" Risk"/>
    <n v="996"/>
    <n v="256798.68"/>
    <m/>
    <n v="5.7574315268155434E-4"/>
    <n v="0.97040873167019037"/>
    <s v="C"/>
    <s v="Y"/>
    <s v="CY"/>
    <s v="Low-Priority Monitoring"/>
    <s v="Monthly Review"/>
    <s v="Low Priority Monitoring"/>
    <s v="Low"/>
    <n v="40"/>
    <x v="1"/>
  </r>
  <r>
    <s v="ITEM077"/>
    <s v="Rod"/>
    <s v="Raw Material"/>
    <x v="4"/>
    <n v="820"/>
    <n v="286"/>
    <n v="18"/>
    <n v="21"/>
    <n v="74.73"/>
    <n v="0.1"/>
    <n v="186"/>
    <n v="0.82"/>
    <n v="8"/>
    <n v="9.5333333333333332"/>
    <n v="9.5333333333333332"/>
    <n v="6.2937062937062943E-2"/>
    <s v="Stable"/>
    <n v="82.486362509205122"/>
    <n v="113.01969584253845"/>
    <n v="706.98030415746155"/>
    <s v=" Safe"/>
    <n v="3432"/>
    <n v="256473.36000000002"/>
    <m/>
    <n v="5.7501378459278395E-4"/>
    <n v="0.97098374545478316"/>
    <s v="C"/>
    <s v="X"/>
    <s v="CX"/>
    <s v="Simplified Bulk Control"/>
    <s v="Monthly"/>
    <s v="Bulk Ordering"/>
    <s v="Low"/>
    <n v="50"/>
    <x v="2"/>
  </r>
  <r>
    <s v="ITEM045"/>
    <s v="Pipe B"/>
    <s v="Raw Material"/>
    <x v="3"/>
    <n v="321"/>
    <n v="68"/>
    <n v="56"/>
    <n v="8"/>
    <n v="313.82"/>
    <n v="0.11"/>
    <n v="157"/>
    <n v="0.84"/>
    <n v="5"/>
    <n v="2.2666666666666666"/>
    <n v="2.2666666666666666"/>
    <n v="0.82352941176470584"/>
    <s v="Highly veriable"/>
    <n v="158.39191898578665"/>
    <n v="168.65858565245333"/>
    <n v="152.34141434754667"/>
    <s v=" Risk"/>
    <n v="816"/>
    <n v="256077.12"/>
    <m/>
    <n v="5.7412541372258102E-4"/>
    <n v="0.97155787086850576"/>
    <s v="C"/>
    <s v="Z"/>
    <s v="CZ"/>
    <s v="Minimal Control"/>
    <s v="Quarterly"/>
    <s v="Reduce Inventory Exposure"/>
    <s v="Low"/>
    <n v="40"/>
    <x v="1"/>
  </r>
  <r>
    <s v="ITEM284"/>
    <s v="Pipe A"/>
    <s v="Raw Material"/>
    <x v="4"/>
    <n v="615"/>
    <n v="87"/>
    <n v="21"/>
    <n v="6"/>
    <n v="243.66"/>
    <n v="0.06"/>
    <n v="147"/>
    <n v="0.74"/>
    <n v="7"/>
    <n v="2.9"/>
    <n v="2.9"/>
    <n v="0.2413793103448276"/>
    <s v="Moderate"/>
    <n v="51.439284598446733"/>
    <n v="60.339284598446731"/>
    <n v="554.66071540155326"/>
    <s v=" Safe"/>
    <n v="1044"/>
    <n v="254381.04"/>
    <m/>
    <n v="5.7032279898016833E-4"/>
    <n v="0.97212819366748593"/>
    <s v="C"/>
    <s v="Y"/>
    <s v="CY"/>
    <s v="Low-Priority Monitoring"/>
    <s v="Monthly Review"/>
    <s v="Low Priority Monitoring"/>
    <s v="Low"/>
    <n v="40"/>
    <x v="1"/>
  </r>
  <r>
    <s v="ITEM194"/>
    <s v="Connector"/>
    <s v="Finished Goods"/>
    <x v="4"/>
    <n v="710"/>
    <n v="50"/>
    <n v="52"/>
    <n v="2"/>
    <n v="423.32"/>
    <n v="0.09"/>
    <n v="120"/>
    <n v="0.88"/>
    <n v="8"/>
    <n v="1.6666666666666667"/>
    <n v="1.6666666666666667"/>
    <n v="1.04"/>
    <s v="Highly veriable"/>
    <n v="73.539105243400954"/>
    <n v="77.205771910067625"/>
    <n v="632.7942280899324"/>
    <s v=" Safe"/>
    <n v="600"/>
    <n v="253992"/>
    <m/>
    <n v="5.6945057052432406E-4"/>
    <n v="0.97269764423801031"/>
    <s v="C"/>
    <s v="Z"/>
    <s v="CZ"/>
    <s v="Minimal Control"/>
    <s v="Quarterly"/>
    <s v="Reduce Inventory Exposure"/>
    <s v="Low"/>
    <n v="50"/>
    <x v="2"/>
  </r>
  <r>
    <s v="ITEM360"/>
    <s v="Sheet"/>
    <s v="Finished Goods"/>
    <x v="4"/>
    <n v="203"/>
    <n v="235"/>
    <n v="8"/>
    <n v="13"/>
    <n v="89.26"/>
    <n v="0.21"/>
    <n v="678"/>
    <n v="0.72"/>
    <n v="2"/>
    <n v="7.833333333333333"/>
    <n v="7.833333333333333"/>
    <n v="3.4042553191489362E-2"/>
    <s v="Stable"/>
    <n v="28.844410203711913"/>
    <n v="49.677743537045245"/>
    <n v="153.32225646295475"/>
    <s v=" Safe"/>
    <n v="2820"/>
    <n v="251713.2"/>
    <m/>
    <n v="5.6434149637982027E-4"/>
    <n v="0.97326198573439016"/>
    <s v="C"/>
    <s v="X"/>
    <s v="CX"/>
    <s v="Simplified Bulk Control"/>
    <s v="Monthly"/>
    <s v="Bulk Ordering"/>
    <s v="Low"/>
    <n v="30"/>
    <x v="1"/>
  </r>
  <r>
    <s v="ITEM264"/>
    <s v="Flange"/>
    <s v="Raw Material"/>
    <x v="2"/>
    <n v="841"/>
    <n v="62"/>
    <n v="7"/>
    <n v="6"/>
    <n v="333.6"/>
    <n v="0.14000000000000001"/>
    <n v="689"/>
    <n v="0.98"/>
    <n v="9"/>
    <n v="2.0666666666666669"/>
    <n v="2.0666666666666669"/>
    <n v="0.11290322580645161"/>
    <s v="Stable"/>
    <n v="17.146428199482244"/>
    <n v="25.213094866148911"/>
    <n v="815.78690513385106"/>
    <s v=" Safe"/>
    <n v="744"/>
    <n v="248198.40000000002"/>
    <m/>
    <n v="5.5646130777041957E-4"/>
    <n v="0.97381844704216058"/>
    <s v="C"/>
    <s v="X"/>
    <s v="CX"/>
    <s v="Simplified Bulk Control"/>
    <s v="Monthly"/>
    <s v="Bulk Ordering"/>
    <s v="Low"/>
    <n v="50"/>
    <x v="2"/>
  </r>
  <r>
    <s v="ITEM072"/>
    <s v="Connector"/>
    <s v="Finished Goods"/>
    <x v="4"/>
    <n v="560"/>
    <n v="97"/>
    <n v="73"/>
    <n v="21"/>
    <n v="212.37"/>
    <n v="0.06"/>
    <n v="146"/>
    <n v="0.91"/>
    <n v="7"/>
    <n v="3.2333333333333334"/>
    <n v="3.2333333333333334"/>
    <n v="0.75257731958762886"/>
    <s v="Highly veriable"/>
    <n v="334.52802573177632"/>
    <n v="358.76135906510967"/>
    <n v="201.23864093489033"/>
    <s v=" Risk"/>
    <n v="1164"/>
    <n v="247198.68"/>
    <m/>
    <n v="5.5421993353672492E-4"/>
    <n v="0.97437266697569735"/>
    <s v="C"/>
    <s v="Z"/>
    <s v="CZ"/>
    <s v="Minimal Control"/>
    <s v="Quarterly"/>
    <s v="Reduce Inventory Exposure"/>
    <s v="Low"/>
    <n v="40"/>
    <x v="1"/>
  </r>
  <r>
    <s v="ITEM067"/>
    <s v="Flange"/>
    <s v="Finished Goods"/>
    <x v="0"/>
    <n v="119"/>
    <n v="309"/>
    <n v="72"/>
    <n v="5"/>
    <n v="65.150000000000006"/>
    <n v="0.21"/>
    <n v="280"/>
    <n v="1"/>
    <n v="2"/>
    <n v="10.3"/>
    <n v="10.3"/>
    <n v="0.23300970873786409"/>
    <s v="Moderate"/>
    <n v="160.99689437998487"/>
    <n v="176.29689437998488"/>
    <n v="-57.296894379984877"/>
    <s v=" Need to Order"/>
    <n v="3708"/>
    <n v="241576.2"/>
    <m/>
    <n v="5.4161432216407693E-4"/>
    <n v="0.9749142812978614"/>
    <s v="C"/>
    <s v="Y"/>
    <s v="CY"/>
    <s v="Low-Priority Monitoring"/>
    <s v="Monthly Review"/>
    <s v="Low Priority Monitoring"/>
    <s v="Low"/>
    <n v="30"/>
    <x v="1"/>
  </r>
  <r>
    <s v="ITEM157"/>
    <s v="Tube"/>
    <s v="Finished Goods"/>
    <x v="1"/>
    <n v="912"/>
    <n v="172"/>
    <n v="65"/>
    <n v="19"/>
    <n v="116.82"/>
    <n v="0.15"/>
    <n v="597"/>
    <n v="0.74"/>
    <n v="3"/>
    <n v="5.7333333333333334"/>
    <n v="5.7333333333333334"/>
    <n v="0.37790697674418605"/>
    <s v="Moderate"/>
    <n v="283.32843133014381"/>
    <n v="308.06176466347716"/>
    <n v="603.93823533652289"/>
    <s v=" Safe"/>
    <n v="2064"/>
    <n v="241116.47999999998"/>
    <m/>
    <n v="5.4058362900727885E-4"/>
    <n v="0.97545486492686873"/>
    <s v="C"/>
    <s v="Y"/>
    <s v="CY"/>
    <s v="Low-Priority Monitoring"/>
    <s v="Monthly Review"/>
    <s v="Low Priority Monitoring"/>
    <s v="Low"/>
    <n v="30"/>
    <x v="1"/>
  </r>
  <r>
    <s v="ITEM127"/>
    <s v="Tube"/>
    <s v="Finished Goods"/>
    <x v="1"/>
    <n v="331"/>
    <n v="60"/>
    <n v="96"/>
    <n v="1"/>
    <n v="333.43"/>
    <n v="0.06"/>
    <n v="640"/>
    <n v="0.83"/>
    <n v="3"/>
    <n v="2"/>
    <n v="2"/>
    <n v="1.6"/>
    <s v="Highly veriable"/>
    <n v="96"/>
    <n v="99"/>
    <n v="232"/>
    <s v=" Safe"/>
    <n v="720"/>
    <n v="240069.6"/>
    <m/>
    <n v="5.3823652195953526E-4"/>
    <n v="0.97599310144882823"/>
    <s v="C"/>
    <s v="Z"/>
    <s v="CZ"/>
    <s v="Minimal Control"/>
    <s v="Quarterly"/>
    <s v="Reduce Inventory Exposure"/>
    <s v="Low"/>
    <n v="30"/>
    <x v="1"/>
  </r>
  <r>
    <s v="ITEM172"/>
    <s v="Sheet"/>
    <s v="Raw Material"/>
    <x v="1"/>
    <n v="227"/>
    <n v="223"/>
    <n v="93"/>
    <n v="21"/>
    <n v="89.5"/>
    <n v="0.1"/>
    <n v="634"/>
    <n v="0.86"/>
    <n v="2"/>
    <n v="7.4333333333333336"/>
    <n v="7.4333333333333336"/>
    <n v="0.4170403587443946"/>
    <s v="Moderate"/>
    <n v="426.17953963089309"/>
    <n v="454.61287296422643"/>
    <n v="-227.61287296422643"/>
    <s v=" Need to Order"/>
    <n v="2676"/>
    <n v="239502"/>
    <m/>
    <n v="5.3696396162759721E-4"/>
    <n v="0.97653006541045584"/>
    <s v="C"/>
    <s v="Y"/>
    <s v="CY"/>
    <s v="Low-Priority Monitoring"/>
    <s v="Monthly Review"/>
    <s v="Low Priority Monitoring"/>
    <s v="Low"/>
    <n v="30"/>
    <x v="1"/>
  </r>
  <r>
    <s v="ITEM213"/>
    <s v="Pipe B"/>
    <s v="Raw Material"/>
    <x v="0"/>
    <n v="173"/>
    <n v="295"/>
    <n v="30"/>
    <n v="24"/>
    <n v="66.58"/>
    <n v="0.11"/>
    <n v="932"/>
    <n v="0.72"/>
    <n v="5"/>
    <n v="9.8333333333333339"/>
    <n v="9.8333333333333339"/>
    <n v="0.10169491525423729"/>
    <s v="Stable"/>
    <n v="146.96938456699067"/>
    <n v="180.80271790032401"/>
    <n v="-7.8027179003240121"/>
    <s v=" Need to Order"/>
    <n v="3540"/>
    <n v="235693.19999999998"/>
    <m/>
    <n v="5.2842462443188608E-4"/>
    <n v="0.97705849003488776"/>
    <s v="C"/>
    <s v="X"/>
    <s v="CX"/>
    <s v="Simplified Bulk Control"/>
    <s v="Monthly"/>
    <s v="Bulk Ordering"/>
    <s v="Low"/>
    <n v="40"/>
    <x v="1"/>
  </r>
  <r>
    <s v="ITEM413"/>
    <s v="Sheet"/>
    <s v="Raw Material"/>
    <x v="2"/>
    <n v="596"/>
    <n v="140"/>
    <n v="99"/>
    <n v="7"/>
    <n v="140.27000000000001"/>
    <n v="0.2"/>
    <n v="641"/>
    <n v="0.79"/>
    <n v="8"/>
    <n v="4.666666666666667"/>
    <n v="4.666666666666667"/>
    <n v="0.70714285714285718"/>
    <s v="Highly veriable"/>
    <n v="261.92937979539448"/>
    <n v="273.59604646206117"/>
    <n v="322.40395353793883"/>
    <s v=" Safe"/>
    <n v="1680"/>
    <n v="235653.6"/>
    <m/>
    <n v="5.2833584115291371E-4"/>
    <n v="0.97758682587604062"/>
    <s v="C"/>
    <s v="Z"/>
    <s v="CZ"/>
    <s v="Minimal Control"/>
    <s v="Quarterly"/>
    <s v="Reduce Inventory Exposure"/>
    <s v="Low"/>
    <n v="50"/>
    <x v="2"/>
  </r>
  <r>
    <s v="ITEM243"/>
    <s v="Pipe A"/>
    <s v="Raw Material"/>
    <x v="2"/>
    <n v="695"/>
    <n v="66"/>
    <n v="23"/>
    <n v="6"/>
    <n v="294.5"/>
    <n v="0.17"/>
    <n v="521"/>
    <n v="0.98"/>
    <n v="5"/>
    <n v="2.2000000000000002"/>
    <n v="2.2000000000000002"/>
    <n v="0.34848484848484851"/>
    <s v="Moderate"/>
    <n v="56.33826408401309"/>
    <n v="64.538264084013093"/>
    <n v="630.46173591598688"/>
    <s v=" Safe"/>
    <n v="792"/>
    <n v="233244"/>
    <m/>
    <n v="5.229335131475615E-4"/>
    <n v="0.9781097593891882"/>
    <s v="C"/>
    <s v="Y"/>
    <s v="CY"/>
    <s v="Low-Priority Monitoring"/>
    <s v="Monthly Review"/>
    <s v="Low Priority Monitoring"/>
    <s v="Low"/>
    <n v="40"/>
    <x v="1"/>
  </r>
  <r>
    <s v="ITEM480"/>
    <s v="Tube"/>
    <s v="Raw Material"/>
    <x v="2"/>
    <n v="921"/>
    <n v="73"/>
    <n v="58"/>
    <n v="17"/>
    <n v="256.88"/>
    <n v="0.22"/>
    <n v="870"/>
    <n v="0.81"/>
    <n v="7"/>
    <n v="2.4333333333333331"/>
    <n v="2.4333333333333331"/>
    <n v="0.79452054794520544"/>
    <s v="Highly veriable"/>
    <n v="239.14012628582432"/>
    <n v="258.57345961915763"/>
    <n v="662.42654038084243"/>
    <s v=" Safe"/>
    <n v="876"/>
    <n v="225026.88"/>
    <m/>
    <n v="5.045107137205448E-4"/>
    <n v="0.9786142701029088"/>
    <s v="C"/>
    <s v="Z"/>
    <s v="CZ"/>
    <s v="Minimal Control"/>
    <s v="Quarterly"/>
    <s v="Reduce Inventory Exposure"/>
    <s v="Low"/>
    <n v="40"/>
    <x v="1"/>
  </r>
  <r>
    <s v="ITEM344"/>
    <s v="Pipe A"/>
    <s v="Finished Goods"/>
    <x v="0"/>
    <n v="824"/>
    <n v="86"/>
    <n v="27"/>
    <n v="14"/>
    <n v="217.57"/>
    <n v="0.15"/>
    <n v="422"/>
    <n v="0.76"/>
    <n v="4"/>
    <n v="2.8666666666666667"/>
    <n v="2.8666666666666667"/>
    <n v="0.31395348837209303"/>
    <s v="Moderate"/>
    <n v="101.02474944289642"/>
    <n v="117.8914161095631"/>
    <n v="706.10858389043688"/>
    <s v=" Safe"/>
    <n v="1032"/>
    <n v="224532.24"/>
    <m/>
    <n v="5.0340172985410749E-4"/>
    <n v="0.97911767183276288"/>
    <s v="C"/>
    <s v="Y"/>
    <s v="CY"/>
    <s v="Low-Priority Monitoring"/>
    <s v="Monthly Review"/>
    <s v="Low Priority Monitoring"/>
    <s v="Low"/>
    <n v="30"/>
    <x v="1"/>
  </r>
  <r>
    <s v="ITEM265"/>
    <s v="Tube"/>
    <s v="Raw Material"/>
    <x v="1"/>
    <n v="952"/>
    <n v="184"/>
    <n v="46"/>
    <n v="7"/>
    <n v="100.38"/>
    <n v="0.11"/>
    <n v="416"/>
    <n v="0.98"/>
    <n v="1"/>
    <n v="6.1333333333333337"/>
    <n v="6.1333333333333337"/>
    <n v="0.25"/>
    <s v="Moderate"/>
    <n v="121.70456030897117"/>
    <n v="134.83789364230449"/>
    <n v="817.16210635769551"/>
    <s v=" Safe"/>
    <n v="2208"/>
    <n v="221639.03999999998"/>
    <m/>
    <n v="4.9691516968433452E-4"/>
    <n v="0.97961458700244719"/>
    <s v="C"/>
    <s v="Y"/>
    <s v="CY"/>
    <s v="Low-Priority Monitoring"/>
    <s v="Monthly Review"/>
    <s v="Low Priority Monitoring"/>
    <s v="Low"/>
    <n v="30"/>
    <x v="1"/>
  </r>
  <r>
    <s v="ITEM422"/>
    <s v="Pipe A"/>
    <s v="Finished Goods"/>
    <x v="3"/>
    <n v="284"/>
    <n v="78"/>
    <n v="99"/>
    <n v="11"/>
    <n v="233.39"/>
    <n v="0.09"/>
    <n v="555"/>
    <n v="0.93"/>
    <n v="10"/>
    <n v="2.6"/>
    <n v="2.6"/>
    <n v="1.2692307692307692"/>
    <s v="Highly veriable"/>
    <n v="328.34585424518457"/>
    <n v="341.94585424518459"/>
    <n v="-57.945854245184591"/>
    <s v=" Need to Order"/>
    <n v="936"/>
    <n v="218453.03999999998"/>
    <m/>
    <n v="4.8977215133064417E-4"/>
    <n v="0.9801043591537778"/>
    <s v="C"/>
    <s v="Z"/>
    <s v="CZ"/>
    <s v="Minimal Control"/>
    <s v="Quarterly"/>
    <s v="Reduce Inventory Exposure"/>
    <s v="Low"/>
    <n v="50"/>
    <x v="2"/>
  </r>
  <r>
    <s v="ITEM300"/>
    <s v="Rod"/>
    <s v="Raw Material"/>
    <x v="0"/>
    <n v="402"/>
    <n v="237"/>
    <n v="26"/>
    <n v="22"/>
    <n v="76.37"/>
    <n v="0.16"/>
    <n v="836"/>
    <n v="0.72"/>
    <n v="3"/>
    <n v="7.9"/>
    <n v="7.9"/>
    <n v="0.10970464135021098"/>
    <s v="Stable"/>
    <n v="121.95080975540917"/>
    <n v="151.85080975540916"/>
    <n v="250.14919024459084"/>
    <s v=" Safe"/>
    <n v="2844"/>
    <n v="217196.28"/>
    <m/>
    <n v="4.8695449290434679E-4"/>
    <n v="0.98059131364668217"/>
    <s v="C"/>
    <s v="X"/>
    <s v="CX"/>
    <s v="Simplified Bulk Control"/>
    <s v="Monthly"/>
    <s v="Bulk Ordering"/>
    <s v="Low"/>
    <n v="30"/>
    <x v="1"/>
  </r>
  <r>
    <s v="ITEM364"/>
    <s v="Valve"/>
    <s v="Finished Goods"/>
    <x v="4"/>
    <n v="726"/>
    <n v="99"/>
    <n v="94"/>
    <n v="27"/>
    <n v="181.91"/>
    <n v="0.1"/>
    <n v="737"/>
    <n v="0.86"/>
    <n v="10"/>
    <n v="3.3"/>
    <n v="3.3"/>
    <n v="0.9494949494949495"/>
    <s v="Highly veriable"/>
    <n v="488.43832773442341"/>
    <n v="518.73832773442336"/>
    <n v="207.26167226557664"/>
    <s v=" Risk"/>
    <n v="1188"/>
    <n v="216109.08"/>
    <m/>
    <n v="4.8451698833619483E-4"/>
    <n v="0.98107583063501835"/>
    <s v="C"/>
    <s v="Z"/>
    <s v="CZ"/>
    <s v="Minimal Control"/>
    <s v="Quarterly"/>
    <s v="Reduce Inventory Exposure"/>
    <s v="Low"/>
    <n v="50"/>
    <x v="2"/>
  </r>
  <r>
    <s v="ITEM245"/>
    <s v="Pipe A"/>
    <s v="Raw Material"/>
    <x v="2"/>
    <n v="180"/>
    <n v="57"/>
    <n v="27"/>
    <n v="5"/>
    <n v="312.92"/>
    <n v="0.12"/>
    <n v="554"/>
    <n v="0.87"/>
    <n v="3"/>
    <n v="1.9"/>
    <n v="1.9"/>
    <n v="0.47368421052631576"/>
    <s v="Moderate"/>
    <n v="60.373835392494328"/>
    <n v="67.273835392494334"/>
    <n v="112.72616460750567"/>
    <s v=" Safe"/>
    <n v="684"/>
    <n v="214037.28"/>
    <m/>
    <n v="4.7987200860450134E-4"/>
    <n v="0.98155570264362291"/>
    <s v="C"/>
    <s v="Y"/>
    <s v="CY"/>
    <s v="Low-Priority Monitoring"/>
    <s v="Monthly Review"/>
    <s v="Low Priority Monitoring"/>
    <s v="Low"/>
    <n v="30"/>
    <x v="1"/>
  </r>
  <r>
    <s v="ITEM221"/>
    <s v="Tube"/>
    <s v="Raw Material"/>
    <x v="3"/>
    <n v="170"/>
    <n v="148"/>
    <n v="18"/>
    <n v="4"/>
    <n v="120.08"/>
    <n v="0.12"/>
    <n v="650"/>
    <n v="0.72"/>
    <n v="10"/>
    <n v="4.9333333333333336"/>
    <n v="4.9333333333333336"/>
    <n v="0.12162162162162163"/>
    <s v="Stable"/>
    <n v="36"/>
    <n v="44.933333333333337"/>
    <n v="125.06666666666666"/>
    <s v=" Safe"/>
    <n v="1776"/>
    <n v="213262.07999999999"/>
    <m/>
    <n v="4.7813400865855636E-4"/>
    <n v="0.9820338366522815"/>
    <s v="C"/>
    <s v="X"/>
    <s v="CX"/>
    <s v="Simplified Bulk Control"/>
    <s v="Monthly"/>
    <s v="Bulk Ordering"/>
    <s v="Low"/>
    <n v="50"/>
    <x v="2"/>
  </r>
  <r>
    <s v="ITEM308"/>
    <s v="Rod"/>
    <s v="Raw Material"/>
    <x v="4"/>
    <n v="935"/>
    <n v="231"/>
    <n v="93"/>
    <n v="8"/>
    <n v="76.819999999999993"/>
    <n v="0.18"/>
    <n v="725"/>
    <n v="0.78"/>
    <n v="2"/>
    <n v="7.7"/>
    <n v="7.7"/>
    <n v="0.40259740259740262"/>
    <s v="Moderate"/>
    <n v="263.0437226013957"/>
    <n v="278.74372260139569"/>
    <n v="656.25627739860431"/>
    <s v=" Safe"/>
    <n v="2772"/>
    <n v="212945.03999999998"/>
    <m/>
    <n v="4.7742320434629833E-4"/>
    <n v="0.98251125985662779"/>
    <s v="C"/>
    <s v="Y"/>
    <s v="CY"/>
    <s v="Low-Priority Monitoring"/>
    <s v="Monthly Review"/>
    <s v="Low Priority Monitoring"/>
    <s v="Low"/>
    <n v="30"/>
    <x v="1"/>
  </r>
  <r>
    <s v="ITEM220"/>
    <s v="Connector"/>
    <s v="Raw Material"/>
    <x v="4"/>
    <n v="572"/>
    <n v="76"/>
    <n v="81"/>
    <n v="1"/>
    <n v="230"/>
    <n v="0.21"/>
    <n v="298"/>
    <n v="0.74"/>
    <n v="3"/>
    <n v="2.5333333333333332"/>
    <n v="2.5333333333333332"/>
    <n v="1.0657894736842106"/>
    <s v="Highly veriable"/>
    <n v="81"/>
    <n v="84.533333333333331"/>
    <n v="487.4666666666667"/>
    <s v=" Safe"/>
    <n v="912"/>
    <n v="209760"/>
    <m/>
    <n v="4.7028233831452259E-4"/>
    <n v="0.98298154219494227"/>
    <s v="C"/>
    <s v="Z"/>
    <s v="CZ"/>
    <s v="Minimal Control"/>
    <s v="Quarterly"/>
    <s v="Reduce Inventory Exposure"/>
    <s v="Low"/>
    <n v="30"/>
    <x v="1"/>
  </r>
  <r>
    <s v="ITEM424"/>
    <s v="Valve"/>
    <s v="Finished Goods"/>
    <x v="0"/>
    <n v="807"/>
    <n v="50"/>
    <n v="5"/>
    <n v="30"/>
    <n v="348.96"/>
    <n v="0.23"/>
    <n v="565"/>
    <n v="0.98"/>
    <n v="6"/>
    <n v="1.6666666666666667"/>
    <n v="1.6666666666666667"/>
    <n v="0.1"/>
    <s v="Stable"/>
    <n v="27.386127875258307"/>
    <n v="59.052794541924975"/>
    <n v="747.94720545807502"/>
    <s v=" Safe"/>
    <n v="600"/>
    <n v="209376"/>
    <m/>
    <n v="4.6942140954872943E-4"/>
    <n v="0.98345096360449102"/>
    <s v="C"/>
    <s v="X"/>
    <s v="CX"/>
    <s v="Simplified Bulk Control"/>
    <s v="Monthly"/>
    <s v="Bulk Ordering"/>
    <s v="Low"/>
    <n v="40"/>
    <x v="1"/>
  </r>
  <r>
    <s v="ITEM412"/>
    <s v="Connector"/>
    <s v="Finished Goods"/>
    <x v="2"/>
    <n v="335"/>
    <n v="182"/>
    <n v="78"/>
    <n v="28"/>
    <n v="95.57"/>
    <n v="7.0000000000000007E-2"/>
    <n v="690"/>
    <n v="1"/>
    <n v="3"/>
    <n v="6.0666666666666664"/>
    <n v="6.0666666666666664"/>
    <n v="0.42857142857142855"/>
    <s v="Moderate"/>
    <n v="412.73720452607614"/>
    <n v="446.8038711927428"/>
    <n v="-111.8038711927428"/>
    <s v=" Need to Order"/>
    <n v="2184"/>
    <n v="208724.87999999998"/>
    <m/>
    <n v="4.6796159721023133E-4"/>
    <n v="0.98391892520170121"/>
    <s v="C"/>
    <s v="Y"/>
    <s v="CY"/>
    <s v="Low-Priority Monitoring"/>
    <s v="Monthly Review"/>
    <s v="Low Priority Monitoring"/>
    <s v="Low"/>
    <n v="30"/>
    <x v="1"/>
  </r>
  <r>
    <s v="ITEM076"/>
    <s v="Connector"/>
    <s v="Finished Goods"/>
    <x v="2"/>
    <n v="872"/>
    <n v="133"/>
    <n v="83"/>
    <n v="27"/>
    <n v="129.41999999999999"/>
    <n v="0.11"/>
    <n v="219"/>
    <n v="0.75"/>
    <n v="9"/>
    <n v="4.4333333333333336"/>
    <n v="4.4333333333333336"/>
    <n v="0.62406015037593987"/>
    <s v="Highly veriable"/>
    <n v="431.28065108465046"/>
    <n v="462.7139844179838"/>
    <n v="409.2860155820162"/>
    <s v=" Risk"/>
    <n v="1596"/>
    <n v="206554.31999999998"/>
    <m/>
    <n v="4.6309519736158542E-4"/>
    <n v="0.98438202039906275"/>
    <s v="C"/>
    <s v="Z"/>
    <s v="CZ"/>
    <s v="Minimal Control"/>
    <s v="Quarterly"/>
    <s v="Reduce Inventory Exposure"/>
    <s v="Low"/>
    <n v="50"/>
    <x v="2"/>
  </r>
  <r>
    <s v="ITEM054"/>
    <s v="Connector"/>
    <s v="Raw Material"/>
    <x v="0"/>
    <n v="707"/>
    <n v="119"/>
    <n v="28"/>
    <n v="13"/>
    <n v="143.91999999999999"/>
    <n v="0.16"/>
    <n v="508"/>
    <n v="0.9"/>
    <n v="7"/>
    <n v="3.9666666666666668"/>
    <n v="3.9666666666666668"/>
    <n v="0.23529411764705882"/>
    <s v="Moderate"/>
    <n v="100.9554357129917"/>
    <n v="117.92210237965837"/>
    <n v="589.07789762034167"/>
    <s v=" Safe"/>
    <n v="1428"/>
    <n v="205517.75999999998"/>
    <m/>
    <n v="4.6077122777442243E-4"/>
    <n v="0.98484279162683719"/>
    <s v="C"/>
    <s v="Y"/>
    <s v="CY"/>
    <s v="Low-Priority Monitoring"/>
    <s v="Monthly Review"/>
    <s v="Low Priority Monitoring"/>
    <s v="Low"/>
    <n v="40"/>
    <x v="1"/>
  </r>
  <r>
    <s v="ITEM357"/>
    <s v="Tube"/>
    <s v="Finished Goods"/>
    <x v="2"/>
    <n v="114"/>
    <n v="244"/>
    <n v="65"/>
    <n v="10"/>
    <n v="70.19"/>
    <n v="0.16"/>
    <n v="670"/>
    <n v="0.84"/>
    <n v="7"/>
    <n v="8.1333333333333329"/>
    <n v="8.1333333333333329"/>
    <n v="0.26639344262295084"/>
    <s v="Moderate"/>
    <n v="205.54804791094466"/>
    <n v="223.68138124427799"/>
    <n v="-109.68138124427799"/>
    <s v=" Need to Order"/>
    <n v="2928"/>
    <n v="205516.32"/>
    <m/>
    <n v="4.6076799929155077E-4"/>
    <n v="0.9853035596261287"/>
    <s v="C"/>
    <s v="Y"/>
    <s v="CY"/>
    <s v="Low-Priority Monitoring"/>
    <s v="Monthly Review"/>
    <s v="Low Priority Monitoring"/>
    <s v="Low"/>
    <n v="40"/>
    <x v="1"/>
  </r>
  <r>
    <s v="ITEM153"/>
    <s v="Tube"/>
    <s v="Finished Goods"/>
    <x v="1"/>
    <n v="952"/>
    <n v="95"/>
    <n v="15"/>
    <n v="23"/>
    <n v="179.93"/>
    <n v="0.24"/>
    <n v="307"/>
    <n v="0.76"/>
    <n v="2"/>
    <n v="3.1666666666666665"/>
    <n v="3.1666666666666665"/>
    <n v="0.15789473684210525"/>
    <s v="Stable"/>
    <n v="71.937472849690792"/>
    <n v="98.104139516357463"/>
    <n v="853.89586048364254"/>
    <s v=" Safe"/>
    <n v="1140"/>
    <n v="205120.2"/>
    <m/>
    <n v="4.5987989746158726E-4"/>
    <n v="0.98576343952359025"/>
    <s v="C"/>
    <s v="X"/>
    <s v="CX"/>
    <s v="Simplified Bulk Control"/>
    <s v="Monthly"/>
    <s v="Bulk Ordering"/>
    <s v="Low"/>
    <n v="30"/>
    <x v="1"/>
  </r>
  <r>
    <s v="ITEM040"/>
    <s v="Valve"/>
    <s v="Finished Goods"/>
    <x v="3"/>
    <n v="276"/>
    <n v="65"/>
    <n v="44"/>
    <n v="14"/>
    <n v="262.83999999999997"/>
    <n v="0.14000000000000001"/>
    <n v="860"/>
    <n v="0.7"/>
    <n v="9"/>
    <n v="2.1666666666666665"/>
    <n v="2.1666666666666665"/>
    <n v="0.67692307692307696"/>
    <s v="Highly veriable"/>
    <n v="164.63292501805341"/>
    <n v="180.79959168472007"/>
    <n v="95.20040831527993"/>
    <s v=" Risk"/>
    <n v="780"/>
    <n v="205015.19999999998"/>
    <m/>
    <n v="4.5964448725219063E-4"/>
    <n v="0.98622308401084247"/>
    <s v="C"/>
    <s v="Z"/>
    <s v="CZ"/>
    <s v="Minimal Control"/>
    <s v="Quarterly"/>
    <s v="Reduce Inventory Exposure"/>
    <s v="Low"/>
    <n v="50"/>
    <x v="2"/>
  </r>
  <r>
    <s v="ITEM097"/>
    <s v="Tube"/>
    <s v="Finished Goods"/>
    <x v="4"/>
    <n v="42"/>
    <n v="201"/>
    <n v="48"/>
    <n v="20"/>
    <n v="84.95"/>
    <n v="0.16"/>
    <n v="808"/>
    <n v="0.73"/>
    <n v="10"/>
    <n v="6.7"/>
    <n v="6.7"/>
    <n v="0.23880597014925373"/>
    <s v="Moderate"/>
    <n v="214.66252583997982"/>
    <n v="241.36252583997981"/>
    <n v="-199.36252583997981"/>
    <s v=" Need to Order"/>
    <n v="2412"/>
    <n v="204899.4"/>
    <m/>
    <n v="4.5938486342125617E-4"/>
    <n v="0.9866824688742637"/>
    <s v="C"/>
    <s v="Y"/>
    <s v="CY"/>
    <s v="Low-Priority Monitoring"/>
    <s v="Monthly Review"/>
    <s v="Low Priority Monitoring"/>
    <s v="Low"/>
    <n v="50"/>
    <x v="2"/>
  </r>
  <r>
    <s v="ITEM204"/>
    <s v="Flange"/>
    <s v="Raw Material"/>
    <x v="4"/>
    <n v="15"/>
    <n v="160"/>
    <n v="79"/>
    <n v="10"/>
    <n v="105.95"/>
    <n v="0.09"/>
    <n v="699"/>
    <n v="0.97"/>
    <n v="3"/>
    <n v="5.333333333333333"/>
    <n v="5.333333333333333"/>
    <n v="0.49375000000000002"/>
    <s v="Moderate"/>
    <n v="249.81993515330197"/>
    <n v="265.15326848663528"/>
    <n v="-250.15326848663528"/>
    <s v=" Need to Order"/>
    <n v="1920"/>
    <n v="203424"/>
    <m/>
    <n v="4.560770136789352E-4"/>
    <n v="0.98713854588794259"/>
    <s v="C"/>
    <s v="Y"/>
    <s v="CY"/>
    <s v="Low-Priority Monitoring"/>
    <s v="Monthly Review"/>
    <s v="Low Priority Monitoring"/>
    <s v="Low"/>
    <n v="30"/>
    <x v="1"/>
  </r>
  <r>
    <s v="ITEM281"/>
    <s v="Flange"/>
    <s v="Finished Goods"/>
    <x v="1"/>
    <n v="833"/>
    <n v="61"/>
    <n v="96"/>
    <n v="13"/>
    <n v="275.20999999999998"/>
    <n v="0.12"/>
    <n v="830"/>
    <n v="0.81"/>
    <n v="5"/>
    <n v="2.0333333333333332"/>
    <n v="2.0333333333333332"/>
    <n v="1.5737704918032787"/>
    <s v="Highly veriable"/>
    <n v="346.13292244454294"/>
    <n v="361.1662557778763"/>
    <n v="471.8337442221237"/>
    <s v=" Safe"/>
    <n v="732"/>
    <n v="201453.71999999997"/>
    <m/>
    <n v="4.516596419896982E-4"/>
    <n v="0.98759020552993226"/>
    <s v="C"/>
    <s v="Z"/>
    <s v="CZ"/>
    <s v="Minimal Control"/>
    <s v="Quarterly"/>
    <s v="Reduce Inventory Exposure"/>
    <s v="Low"/>
    <n v="40"/>
    <x v="1"/>
  </r>
  <r>
    <s v="ITEM269"/>
    <s v="Rod"/>
    <s v="Finished Goods"/>
    <x v="1"/>
    <n v="395"/>
    <n v="84"/>
    <n v="30"/>
    <n v="22"/>
    <n v="199.3"/>
    <n v="0.14000000000000001"/>
    <n v="698"/>
    <n v="0.85"/>
    <n v="4"/>
    <n v="2.8"/>
    <n v="2.8"/>
    <n v="0.35714285714285715"/>
    <s v="Moderate"/>
    <n v="140.7124727947029"/>
    <n v="165.51247279470292"/>
    <n v="229.48752720529708"/>
    <s v=" Safe"/>
    <n v="1008"/>
    <n v="200894.40000000002"/>
    <m/>
    <n v="4.5040564543427267E-4"/>
    <n v="0.98804061117536657"/>
    <s v="C"/>
    <s v="Y"/>
    <s v="CY"/>
    <s v="Low-Priority Monitoring"/>
    <s v="Monthly Review"/>
    <s v="Low Priority Monitoring"/>
    <s v="Low"/>
    <n v="30"/>
    <x v="1"/>
  </r>
  <r>
    <s v="ITEM252"/>
    <s v="Pipe A"/>
    <s v="Finished Goods"/>
    <x v="1"/>
    <n v="537"/>
    <n v="58"/>
    <n v="60"/>
    <n v="22"/>
    <n v="288.17"/>
    <n v="7.0000000000000007E-2"/>
    <n v="873"/>
    <n v="0.89"/>
    <n v="9"/>
    <n v="1.9333333333333333"/>
    <n v="1.9333333333333333"/>
    <n v="1.0344827586206897"/>
    <s v="Highly veriable"/>
    <n v="281.42494558940581"/>
    <n v="305.35827892273915"/>
    <n v="231.64172107726085"/>
    <s v=" Risk"/>
    <n v="696"/>
    <n v="200566.32"/>
    <m/>
    <n v="4.4967008941999809E-4"/>
    <n v="0.98849028126478655"/>
    <s v="C"/>
    <s v="Z"/>
    <s v="CZ"/>
    <s v="Minimal Control"/>
    <s v="Quarterly"/>
    <s v="Reduce Inventory Exposure"/>
    <s v="Low"/>
    <n v="50"/>
    <x v="2"/>
  </r>
  <r>
    <s v="ITEM411"/>
    <s v="Rod"/>
    <s v="Raw Material"/>
    <x v="2"/>
    <n v="70"/>
    <n v="96"/>
    <n v="25"/>
    <n v="7"/>
    <n v="173.83"/>
    <n v="0.13"/>
    <n v="799"/>
    <n v="0.82"/>
    <n v="10"/>
    <n v="3.2"/>
    <n v="3.2"/>
    <n v="0.26041666666666669"/>
    <s v="Moderate"/>
    <n v="66.143782776614771"/>
    <n v="76.343782776614773"/>
    <n v="-6.3437827766147734"/>
    <s v=" Need to Order"/>
    <n v="1152"/>
    <n v="200252.16"/>
    <m/>
    <n v="4.4896574207348356E-4"/>
    <n v="0.98893924700686009"/>
    <s v="C"/>
    <s v="Y"/>
    <s v="CY"/>
    <s v="Low-Priority Monitoring"/>
    <s v="Monthly Review"/>
    <s v="Low Priority Monitoring"/>
    <s v="Low"/>
    <n v="50"/>
    <x v="2"/>
  </r>
  <r>
    <s v="ITEM125"/>
    <s v="Flange"/>
    <s v="Raw Material"/>
    <x v="4"/>
    <n v="586"/>
    <n v="68"/>
    <n v="51"/>
    <n v="8"/>
    <n v="240.64"/>
    <n v="0.12"/>
    <n v="851"/>
    <n v="0.89"/>
    <n v="3"/>
    <n v="2.2666666666666666"/>
    <n v="2.2666666666666666"/>
    <n v="0.75"/>
    <s v="Highly veriable"/>
    <n v="144.24978336205569"/>
    <n v="154.51645002872237"/>
    <n v="431.48354997127763"/>
    <s v=" Safe"/>
    <n v="816"/>
    <n v="196362.23999999999"/>
    <m/>
    <n v="4.4024453367599864E-4"/>
    <n v="0.98937949154053606"/>
    <s v="C"/>
    <s v="Z"/>
    <s v="CZ"/>
    <s v="Minimal Control"/>
    <s v="Quarterly"/>
    <s v="Reduce Inventory Exposure"/>
    <s v="Low"/>
    <n v="30"/>
    <x v="1"/>
  </r>
  <r>
    <s v="ITEM325"/>
    <s v="Pipe A"/>
    <s v="Raw Material"/>
    <x v="1"/>
    <n v="109"/>
    <n v="78"/>
    <n v="50"/>
    <n v="6"/>
    <n v="209.57"/>
    <n v="0.08"/>
    <n v="356"/>
    <n v="0.71"/>
    <n v="4"/>
    <n v="2.6"/>
    <n v="2.6"/>
    <n v="0.64102564102564108"/>
    <s v="Highly veriable"/>
    <n v="122.4744871391589"/>
    <n v="131.07448713915889"/>
    <n v="-22.07448713915889"/>
    <s v=" Need to Order"/>
    <n v="936"/>
    <n v="196157.52"/>
    <m/>
    <n v="4.3978555102773515E-4"/>
    <n v="0.98981927709156381"/>
    <s v="C"/>
    <s v="Z"/>
    <s v="CZ"/>
    <s v="Minimal Control"/>
    <s v="Quarterly"/>
    <s v="Reduce Inventory Exposure"/>
    <s v="Low"/>
    <n v="30"/>
    <x v="1"/>
  </r>
  <r>
    <s v="ITEM150"/>
    <s v="Flange"/>
    <s v="Raw Material"/>
    <x v="3"/>
    <n v="109"/>
    <n v="56"/>
    <n v="73"/>
    <n v="25"/>
    <n v="286.92"/>
    <n v="0.23"/>
    <n v="897"/>
    <n v="0.91"/>
    <n v="8"/>
    <n v="1.8666666666666667"/>
    <n v="1.8666666666666667"/>
    <n v="1.3035714285714286"/>
    <s v="Highly veriable"/>
    <n v="365"/>
    <n v="391.86666666666667"/>
    <n v="-282.86666666666667"/>
    <s v=" Need to Order"/>
    <n v="672"/>
    <n v="192810.24000000002"/>
    <m/>
    <n v="4.3228094259241184E-4"/>
    <n v="0.99025155803415621"/>
    <s v="C"/>
    <s v="Z"/>
    <s v="CZ"/>
    <s v="Minimal Control"/>
    <s v="Quarterly"/>
    <s v="Reduce Inventory Exposure"/>
    <s v="Low"/>
    <n v="50"/>
    <x v="2"/>
  </r>
  <r>
    <s v="ITEM012"/>
    <s v="Connector"/>
    <s v="Raw Material"/>
    <x v="4"/>
    <n v="214"/>
    <n v="130"/>
    <n v="28"/>
    <n v="1"/>
    <n v="119.34"/>
    <n v="0.17"/>
    <n v="750"/>
    <n v="0.71"/>
    <n v="6"/>
    <n v="4.333333333333333"/>
    <n v="4.333333333333333"/>
    <n v="0.2153846153846154"/>
    <s v="Moderate"/>
    <n v="28"/>
    <n v="33.333333333333336"/>
    <n v="180.66666666666666"/>
    <s v=" Safe"/>
    <n v="1560"/>
    <n v="186170.4"/>
    <m/>
    <n v="4.1739440807089052E-4"/>
    <n v="0.99066895244222708"/>
    <s v="C"/>
    <s v="Y"/>
    <s v="CY"/>
    <s v="Low-Priority Monitoring"/>
    <s v="Monthly Review"/>
    <s v="Low Priority Monitoring"/>
    <s v="Low"/>
    <n v="40"/>
    <x v="1"/>
  </r>
  <r>
    <s v="ITEM043"/>
    <s v="Rod"/>
    <s v="Raw Material"/>
    <x v="1"/>
    <n v="897"/>
    <n v="234"/>
    <n v="42"/>
    <n v="12"/>
    <n v="65.430000000000007"/>
    <n v="7.0000000000000007E-2"/>
    <n v="802"/>
    <n v="0.77"/>
    <n v="7"/>
    <n v="7.8"/>
    <n v="7.8"/>
    <n v="0.17948717948717949"/>
    <s v="Stable"/>
    <n v="145.4922678357857"/>
    <n v="165.29226783578571"/>
    <n v="731.70773216421435"/>
    <s v=" Safe"/>
    <n v="2808"/>
    <n v="183727.44000000003"/>
    <m/>
    <n v="4.1191728687901016E-4"/>
    <n v="0.99108086972910614"/>
    <s v="C"/>
    <s v="X"/>
    <s v="CX"/>
    <s v="Simplified Bulk Control"/>
    <s v="Monthly"/>
    <s v="Bulk Ordering"/>
    <s v="Low"/>
    <n v="40"/>
    <x v="1"/>
  </r>
  <r>
    <s v="ITEM079"/>
    <s v="Flange"/>
    <s v="Raw Material"/>
    <x v="1"/>
    <n v="897"/>
    <n v="178"/>
    <n v="100"/>
    <n v="25"/>
    <n v="84.67"/>
    <n v="0.08"/>
    <n v="829"/>
    <n v="0.84"/>
    <n v="10"/>
    <n v="5.9333333333333336"/>
    <n v="5.9333333333333336"/>
    <n v="0.5617977528089888"/>
    <s v="Highly veriable"/>
    <n v="500"/>
    <n v="530.93333333333328"/>
    <n v="366.06666666666672"/>
    <s v=" Risk"/>
    <n v="2136"/>
    <n v="180855.12"/>
    <m/>
    <n v="4.0547753971087713E-4"/>
    <n v="0.99148634726881701"/>
    <s v="C"/>
    <s v="Z"/>
    <s v="CZ"/>
    <s v="Minimal Control"/>
    <s v="Quarterly"/>
    <s v="Reduce Inventory Exposure"/>
    <s v="Low"/>
    <n v="50"/>
    <x v="2"/>
  </r>
  <r>
    <s v="ITEM473"/>
    <s v="Connector"/>
    <s v="Raw Material"/>
    <x v="1"/>
    <n v="218"/>
    <n v="69"/>
    <n v="39"/>
    <n v="13"/>
    <n v="210.35"/>
    <n v="0.2"/>
    <n v="688"/>
    <n v="0.92"/>
    <n v="8"/>
    <n v="2.2999999999999998"/>
    <n v="2.2999999999999998"/>
    <n v="0.56521739130434778"/>
    <s v="Highly veriable"/>
    <n v="140.61649974309557"/>
    <n v="155.91649974309559"/>
    <n v="62.083500256904415"/>
    <s v=" Risk"/>
    <n v="828"/>
    <n v="174169.8"/>
    <m/>
    <n v="3.904890389386572E-4"/>
    <n v="0.99187683630775569"/>
    <s v="C"/>
    <s v="Z"/>
    <s v="CZ"/>
    <s v="Minimal Control"/>
    <s v="Quarterly"/>
    <s v="Reduce Inventory Exposure"/>
    <s v="Low"/>
    <n v="50"/>
    <x v="2"/>
  </r>
  <r>
    <s v="ITEM115"/>
    <s v="Flange"/>
    <s v="Raw Material"/>
    <x v="2"/>
    <n v="345"/>
    <n v="136"/>
    <n v="40"/>
    <n v="16"/>
    <n v="106.6"/>
    <n v="0.06"/>
    <n v="940"/>
    <n v="0.7"/>
    <n v="5"/>
    <n v="4.5333333333333332"/>
    <n v="4.5333333333333332"/>
    <n v="0.29411764705882354"/>
    <s v="Moderate"/>
    <n v="160"/>
    <n v="180.53333333333333"/>
    <n v="164.46666666666667"/>
    <s v=" Safe"/>
    <n v="1632"/>
    <n v="173971.19999999998"/>
    <m/>
    <n v="3.9004377734259851E-4"/>
    <n v="0.99226688008509834"/>
    <s v="C"/>
    <s v="Y"/>
    <s v="CY"/>
    <s v="Low-Priority Monitoring"/>
    <s v="Monthly Review"/>
    <s v="Low Priority Monitoring"/>
    <s v="Low"/>
    <n v="40"/>
    <x v="1"/>
  </r>
  <r>
    <s v="ITEM009"/>
    <s v="Rod"/>
    <s v="Raw Material"/>
    <x v="3"/>
    <n v="239"/>
    <n v="58"/>
    <n v="61"/>
    <n v="18"/>
    <n v="248.19"/>
    <n v="0.14000000000000001"/>
    <n v="461"/>
    <n v="0.84"/>
    <n v="1"/>
    <n v="1.9333333333333333"/>
    <n v="1.9333333333333333"/>
    <n v="1.0517241379310345"/>
    <s v="Highly veriable"/>
    <n v="258.80108191427638"/>
    <n v="278.73441524760972"/>
    <n v="-39.734415247609718"/>
    <s v=" Need to Order"/>
    <n v="696"/>
    <n v="172740.24"/>
    <m/>
    <n v="3.8728396256775281E-4"/>
    <n v="0.99265416404766604"/>
    <s v="C"/>
    <s v="Z"/>
    <s v="CZ"/>
    <s v="Minimal Control"/>
    <s v="Quarterly"/>
    <s v="Reduce Inventory Exposure"/>
    <s v="Low"/>
    <n v="30"/>
    <x v="1"/>
  </r>
  <r>
    <s v="ITEM018"/>
    <s v="Rod"/>
    <s v="Raw Material"/>
    <x v="2"/>
    <n v="662"/>
    <n v="82"/>
    <n v="46"/>
    <n v="21"/>
    <n v="174.02"/>
    <n v="0.08"/>
    <n v="926"/>
    <n v="0.72"/>
    <n v="8"/>
    <n v="2.7333333333333334"/>
    <n v="2.7333333333333334"/>
    <n v="0.56097560975609762"/>
    <s v="Highly veriable"/>
    <n v="210.79848196796863"/>
    <n v="234.53181530130195"/>
    <n v="427.46818469869805"/>
    <s v=" Safe"/>
    <n v="984"/>
    <n v="171235.68000000002"/>
    <m/>
    <n v="3.839107360472795E-4"/>
    <n v="0.99303807478371331"/>
    <s v="C"/>
    <s v="Z"/>
    <s v="CZ"/>
    <s v="Minimal Control"/>
    <s v="Quarterly"/>
    <s v="Reduce Inventory Exposure"/>
    <s v="Low"/>
    <n v="50"/>
    <x v="2"/>
  </r>
  <r>
    <s v="ITEM372"/>
    <s v="Connector"/>
    <s v="Finished Goods"/>
    <x v="1"/>
    <n v="570"/>
    <n v="267"/>
    <n v="44"/>
    <n v="24"/>
    <n v="52.35"/>
    <n v="0.17"/>
    <n v="222"/>
    <n v="0.7"/>
    <n v="2"/>
    <n v="8.9"/>
    <n v="8.9"/>
    <n v="0.16479400749063669"/>
    <s v="Stable"/>
    <n v="215.55509736491965"/>
    <n v="248.45509736491965"/>
    <n v="321.54490263508035"/>
    <s v=" Safe"/>
    <n v="3204"/>
    <n v="167729.4"/>
    <m/>
    <n v="3.7604964929486976E-4"/>
    <n v="0.99341412443300814"/>
    <s v="C"/>
    <s v="X"/>
    <s v="CX"/>
    <s v="Simplified Bulk Control"/>
    <s v="Monthly"/>
    <s v="Bulk Ordering"/>
    <s v="Low"/>
    <n v="30"/>
    <x v="1"/>
  </r>
  <r>
    <s v="ITEM158"/>
    <s v="Connector"/>
    <s v="Raw Material"/>
    <x v="0"/>
    <n v="563"/>
    <n v="216"/>
    <n v="25"/>
    <n v="5"/>
    <n v="64.39"/>
    <n v="0.24"/>
    <n v="167"/>
    <n v="0.78"/>
    <n v="1"/>
    <n v="7.2"/>
    <n v="7.2"/>
    <n v="0.11574074074074074"/>
    <s v="Stable"/>
    <n v="55.901699437494742"/>
    <n v="68.101699437494744"/>
    <n v="494.89830056250526"/>
    <s v=" Safe"/>
    <n v="2592"/>
    <n v="166898.88"/>
    <m/>
    <n v="3.7418762179860273E-4"/>
    <n v="0.99378831205480678"/>
    <s v="C"/>
    <s v="X"/>
    <s v="CX"/>
    <s v="Simplified Bulk Control"/>
    <s v="Monthly"/>
    <s v="Bulk Ordering"/>
    <s v="Low"/>
    <n v="30"/>
    <x v="1"/>
  </r>
  <r>
    <s v="ITEM071"/>
    <s v="Tube"/>
    <s v="Finished Goods"/>
    <x v="0"/>
    <n v="903"/>
    <n v="256"/>
    <n v="31"/>
    <n v="24"/>
    <n v="50.74"/>
    <n v="0.14000000000000001"/>
    <n v="565"/>
    <n v="0.7"/>
    <n v="9"/>
    <n v="8.5333333333333332"/>
    <n v="8.5333333333333332"/>
    <n v="0.12109375"/>
    <s v="Stable"/>
    <n v="151.86836405255704"/>
    <n v="184.40169738589037"/>
    <n v="718.59830261410957"/>
    <s v=" Safe"/>
    <n v="3072"/>
    <n v="155873.28"/>
    <m/>
    <n v="3.4946820461076618E-4"/>
    <n v="0.99413778025941757"/>
    <s v="C"/>
    <s v="X"/>
    <s v="CX"/>
    <s v="Simplified Bulk Control"/>
    <s v="Monthly"/>
    <s v="Bulk Ordering"/>
    <s v="Low"/>
    <n v="50"/>
    <x v="2"/>
  </r>
  <r>
    <s v="ITEM492"/>
    <s v="Connector"/>
    <s v="Raw Material"/>
    <x v="3"/>
    <n v="703"/>
    <n v="58"/>
    <n v="52"/>
    <n v="3"/>
    <n v="218.46"/>
    <n v="0.19"/>
    <n v="903"/>
    <n v="0.7"/>
    <n v="7"/>
    <n v="1.9333333333333333"/>
    <n v="1.9333333333333333"/>
    <n v="0.89655172413793105"/>
    <s v="Highly veriable"/>
    <n v="90.066641993581612"/>
    <n v="94.999975326914949"/>
    <n v="608.00002467308502"/>
    <s v=" Safe"/>
    <n v="696"/>
    <n v="152048.16"/>
    <m/>
    <n v="3.4089227794250888E-4"/>
    <n v="0.99447867253736011"/>
    <s v="C"/>
    <s v="Z"/>
    <s v="CZ"/>
    <s v="Minimal Control"/>
    <s v="Quarterly"/>
    <s v="Reduce Inventory Exposure"/>
    <s v="Low"/>
    <n v="40"/>
    <x v="1"/>
  </r>
  <r>
    <s v="ITEM216"/>
    <s v="Tube"/>
    <s v="Finished Goods"/>
    <x v="3"/>
    <n v="761"/>
    <n v="55"/>
    <n v="48"/>
    <n v="20"/>
    <n v="227.53"/>
    <n v="7.0000000000000007E-2"/>
    <n v="249"/>
    <n v="0.88"/>
    <n v="2"/>
    <n v="1.8333333333333333"/>
    <n v="1.8333333333333333"/>
    <n v="0.87272727272727268"/>
    <s v="Highly veriable"/>
    <n v="214.66252583997982"/>
    <n v="236.49585917331316"/>
    <n v="524.50414082668681"/>
    <s v=" Safe"/>
    <n v="660"/>
    <n v="150169.79999999999"/>
    <m/>
    <n v="3.3668099107658366E-4"/>
    <n v="0.99481535352843664"/>
    <s v="C"/>
    <s v="Z"/>
    <s v="CZ"/>
    <s v="Minimal Control"/>
    <s v="Quarterly"/>
    <s v="Reduce Inventory Exposure"/>
    <s v="Low"/>
    <n v="30"/>
    <x v="1"/>
  </r>
  <r>
    <s v="ITEM078"/>
    <s v="Pipe B"/>
    <s v="Raw Material"/>
    <x v="4"/>
    <n v="22"/>
    <n v="112"/>
    <n v="54"/>
    <n v="6"/>
    <n v="106.2"/>
    <n v="0.16"/>
    <n v="144"/>
    <n v="0.77"/>
    <n v="2"/>
    <n v="3.7333333333333334"/>
    <n v="3.7333333333333334"/>
    <n v="0.48214285714285715"/>
    <s v="Moderate"/>
    <n v="132.27244611029161"/>
    <n v="142.00577944362493"/>
    <n v="-120.00577944362493"/>
    <s v=" Need to Order"/>
    <n v="1344"/>
    <n v="142732.80000000002"/>
    <m/>
    <n v="3.2000722224532368E-4"/>
    <n v="0.99513536075068199"/>
    <s v="C"/>
    <s v="Y"/>
    <s v="CY"/>
    <s v="Low-Priority Monitoring"/>
    <s v="Monthly Review"/>
    <s v="Low Priority Monitoring"/>
    <s v="Low"/>
    <n v="30"/>
    <x v="1"/>
  </r>
  <r>
    <s v="ITEM333"/>
    <s v="Sheet"/>
    <s v="Raw Material"/>
    <x v="0"/>
    <n v="474"/>
    <n v="183"/>
    <n v="35"/>
    <n v="8"/>
    <n v="63.07"/>
    <n v="0.23"/>
    <n v="683"/>
    <n v="0.88"/>
    <n v="8"/>
    <n v="6.1"/>
    <n v="6.1"/>
    <n v="0.19125683060109289"/>
    <s v="Stable"/>
    <n v="98.994949366116657"/>
    <n v="113.09494936611665"/>
    <n v="360.90505063388332"/>
    <s v=" Safe"/>
    <n v="2196"/>
    <n v="138501.72"/>
    <m/>
    <n v="3.1052113244747943E-4"/>
    <n v="0.99544588188312944"/>
    <s v="C"/>
    <s v="X"/>
    <s v="CX"/>
    <s v="Simplified Bulk Control"/>
    <s v="Monthly"/>
    <s v="Bulk Ordering"/>
    <s v="Low"/>
    <n v="50"/>
    <x v="2"/>
  </r>
  <r>
    <s v="ITEM371"/>
    <s v="Connector"/>
    <s v="Finished Goods"/>
    <x v="4"/>
    <n v="169"/>
    <n v="54"/>
    <n v="23"/>
    <n v="18"/>
    <n v="209.01"/>
    <n v="0.18"/>
    <n v="306"/>
    <n v="0.7"/>
    <n v="2"/>
    <n v="1.8"/>
    <n v="1.8"/>
    <n v="0.42592592592592593"/>
    <s v="Moderate"/>
    <n v="97.580735803743551"/>
    <n v="117.38073580374355"/>
    <n v="51.619264196256452"/>
    <s v=" Risk"/>
    <n v="648"/>
    <n v="135438.47999999998"/>
    <m/>
    <n v="3.0365334225860359E-4"/>
    <n v="0.995749535225388"/>
    <s v="C"/>
    <s v="Y"/>
    <s v="CY"/>
    <s v="Low-Priority Monitoring"/>
    <s v="Monthly Review"/>
    <s v="Low Priority Monitoring"/>
    <s v="Low"/>
    <n v="30"/>
    <x v="1"/>
  </r>
  <r>
    <s v="ITEM274"/>
    <s v="Sheet"/>
    <s v="Finished Goods"/>
    <x v="1"/>
    <n v="980"/>
    <n v="85"/>
    <n v="92"/>
    <n v="19"/>
    <n v="132.71"/>
    <n v="0.11"/>
    <n v="899"/>
    <n v="0.77"/>
    <n v="2"/>
    <n v="2.8333333333333335"/>
    <n v="2.8333333333333335"/>
    <n v="1.0823529411764705"/>
    <s v="Highly veriable"/>
    <n v="401.01870280574201"/>
    <n v="422.85203613907532"/>
    <n v="557.14796386092462"/>
    <s v=" Safe"/>
    <n v="1020"/>
    <n v="135364.20000000001"/>
    <m/>
    <n v="3.0348680635047055E-4"/>
    <n v="0.99605302203173851"/>
    <s v="C"/>
    <s v="Z"/>
    <s v="CZ"/>
    <s v="Minimal Control"/>
    <s v="Quarterly"/>
    <s v="Reduce Inventory Exposure"/>
    <s v="Low"/>
    <n v="30"/>
    <x v="1"/>
  </r>
  <r>
    <s v="ITEM052"/>
    <s v="Rod"/>
    <s v="Finished Goods"/>
    <x v="4"/>
    <n v="5"/>
    <n v="197"/>
    <n v="89"/>
    <n v="7"/>
    <n v="56.13"/>
    <n v="0.06"/>
    <n v="856"/>
    <n v="0.75"/>
    <n v="7"/>
    <n v="6.5666666666666664"/>
    <n v="6.5666666666666664"/>
    <n v="0.45177664974619292"/>
    <s v="Moderate"/>
    <n v="235.47186668474856"/>
    <n v="249.03853335141523"/>
    <n v="-244.03853335141523"/>
    <s v=" Need to Order"/>
    <n v="2364"/>
    <n v="132691.32"/>
    <m/>
    <n v="2.9749420406007145E-4"/>
    <n v="0.99635051623579862"/>
    <s v="C"/>
    <s v="Y"/>
    <s v="CY"/>
    <s v="Low-Priority Monitoring"/>
    <s v="Monthly Review"/>
    <s v="Low Priority Monitoring"/>
    <s v="Low"/>
    <n v="40"/>
    <x v="1"/>
  </r>
  <r>
    <s v="ITEM231"/>
    <s v="Tube"/>
    <s v="Finished Goods"/>
    <x v="3"/>
    <n v="11"/>
    <n v="110"/>
    <n v="88"/>
    <n v="27"/>
    <n v="99.58"/>
    <n v="0.12"/>
    <n v="531"/>
    <n v="0.8"/>
    <n v="3"/>
    <n v="3.6666666666666665"/>
    <n v="3.6666666666666665"/>
    <n v="0.8"/>
    <s v="Highly veriable"/>
    <n v="457.26141319818362"/>
    <n v="487.9280798648503"/>
    <n v="-476.9280798648503"/>
    <s v=" Need to Order"/>
    <n v="1320"/>
    <n v="131445.6"/>
    <m/>
    <n v="2.9470129733579051E-4"/>
    <n v="0.9966452175331344"/>
    <s v="C"/>
    <s v="Z"/>
    <s v="CZ"/>
    <s v="Minimal Control"/>
    <s v="Quarterly"/>
    <s v="Reduce Inventory Exposure"/>
    <s v="Low"/>
    <n v="30"/>
    <x v="1"/>
  </r>
  <r>
    <s v="ITEM211"/>
    <s v="Rod"/>
    <s v="Finished Goods"/>
    <x v="1"/>
    <n v="569"/>
    <n v="128"/>
    <n v="57"/>
    <n v="13"/>
    <n v="78.540000000000006"/>
    <n v="0.08"/>
    <n v="603"/>
    <n v="0.9"/>
    <n v="1"/>
    <n v="4.2666666666666666"/>
    <n v="4.2666666666666666"/>
    <n v="0.4453125"/>
    <s v="Moderate"/>
    <n v="205.51642270144737"/>
    <n v="222.78308936811402"/>
    <n v="346.21691063188598"/>
    <s v=" Safe"/>
    <n v="1536"/>
    <n v="120637.44"/>
    <m/>
    <n v="2.7046938106158432E-4"/>
    <n v="0.99691568691419596"/>
    <s v="C"/>
    <s v="Y"/>
    <s v="CY"/>
    <s v="Low-Priority Monitoring"/>
    <s v="Monthly Review"/>
    <s v="Low Priority Monitoring"/>
    <s v="Low"/>
    <n v="30"/>
    <x v="1"/>
  </r>
  <r>
    <s v="ITEM237"/>
    <s v="Rod"/>
    <s v="Finished Goods"/>
    <x v="4"/>
    <n v="608"/>
    <n v="73"/>
    <n v="54"/>
    <n v="4"/>
    <n v="136.16999999999999"/>
    <n v="0.17"/>
    <n v="904"/>
    <n v="0.71"/>
    <n v="10"/>
    <n v="2.4333333333333331"/>
    <n v="2.4333333333333331"/>
    <n v="0.73972602739726023"/>
    <s v="Highly veriable"/>
    <n v="108"/>
    <n v="114.43333333333334"/>
    <n v="493.56666666666666"/>
    <s v=" Safe"/>
    <n v="876"/>
    <n v="119284.91999999998"/>
    <m/>
    <n v="2.6743702852431711E-4"/>
    <n v="0.99718312394272024"/>
    <s v="C"/>
    <s v="Z"/>
    <s v="CZ"/>
    <s v="Minimal Control"/>
    <s v="Quarterly"/>
    <s v="Reduce Inventory Exposure"/>
    <s v="Low"/>
    <n v="50"/>
    <x v="2"/>
  </r>
  <r>
    <s v="ITEM279"/>
    <s v="Flange"/>
    <s v="Raw Material"/>
    <x v="4"/>
    <n v="173"/>
    <n v="54"/>
    <n v="12"/>
    <n v="12"/>
    <n v="173.9"/>
    <n v="0.12"/>
    <n v="815"/>
    <n v="0.88"/>
    <n v="3"/>
    <n v="1.8"/>
    <n v="1.8"/>
    <n v="0.22222222222222221"/>
    <s v="Moderate"/>
    <n v="41.569219381653056"/>
    <n v="55.369219381653053"/>
    <n v="117.63078061834695"/>
    <s v=" Safe"/>
    <n v="648"/>
    <n v="112687.2"/>
    <m/>
    <n v="2.526449271267938E-4"/>
    <n v="0.99743576886984708"/>
    <s v="C"/>
    <s v="Y"/>
    <s v="CY"/>
    <s v="Low-Priority Monitoring"/>
    <s v="Monthly Review"/>
    <s v="Low Priority Monitoring"/>
    <s v="Low"/>
    <n v="30"/>
    <x v="1"/>
  </r>
  <r>
    <s v="ITEM130"/>
    <s v="Valve"/>
    <s v="Raw Material"/>
    <x v="4"/>
    <n v="20"/>
    <n v="134"/>
    <n v="60"/>
    <n v="2"/>
    <n v="68.569999999999993"/>
    <n v="0.15"/>
    <n v="700"/>
    <n v="0.73"/>
    <n v="1"/>
    <n v="4.4666666666666668"/>
    <n v="4.4666666666666668"/>
    <n v="0.44776119402985076"/>
    <s v="Moderate"/>
    <n v="84.852813742385706"/>
    <n v="91.319480409052375"/>
    <n v="-71.319480409052375"/>
    <s v=" Need to Order"/>
    <n v="1608"/>
    <n v="110260.55999999998"/>
    <m/>
    <n v="2.4720439540745954E-4"/>
    <n v="0.99768297326525457"/>
    <s v="C"/>
    <s v="Y"/>
    <s v="CY"/>
    <s v="Low-Priority Monitoring"/>
    <s v="Monthly Review"/>
    <s v="Low Priority Monitoring"/>
    <s v="Low"/>
    <n v="30"/>
    <x v="1"/>
  </r>
  <r>
    <s v="ITEM244"/>
    <s v="Tube"/>
    <s v="Finished Goods"/>
    <x v="4"/>
    <n v="986"/>
    <n v="160"/>
    <n v="32"/>
    <n v="23"/>
    <n v="55.3"/>
    <n v="0.24"/>
    <n v="193"/>
    <n v="0.99"/>
    <n v="3"/>
    <n v="5.333333333333333"/>
    <n v="5.333333333333333"/>
    <n v="0.2"/>
    <s v="Moderate"/>
    <n v="153.46660874600701"/>
    <n v="181.79994207934035"/>
    <n v="804.20005792065967"/>
    <s v=" Safe"/>
    <n v="1920"/>
    <n v="106176"/>
    <m/>
    <n v="2.3804680374181326E-4"/>
    <n v="0.99792102006899641"/>
    <s v="C"/>
    <s v="X"/>
    <s v="CX"/>
    <s v="Simplified Bulk Control"/>
    <s v="Monthly"/>
    <s v="Bulk Ordering"/>
    <s v="Low"/>
    <n v="30"/>
    <x v="1"/>
  </r>
  <r>
    <s v="ITEM346"/>
    <s v="Sheet"/>
    <s v="Raw Material"/>
    <x v="4"/>
    <n v="512"/>
    <n v="85"/>
    <n v="22"/>
    <n v="28"/>
    <n v="101.04"/>
    <n v="0.21"/>
    <n v="384"/>
    <n v="0.72"/>
    <n v="7"/>
    <n v="2.8333333333333335"/>
    <n v="2.8333333333333335"/>
    <n v="0.25882352941176473"/>
    <s v="Moderate"/>
    <n v="116.413057686842"/>
    <n v="147.24639102017534"/>
    <n v="364.75360897982466"/>
    <s v=" Safe"/>
    <n v="1020"/>
    <n v="103060.8"/>
    <m/>
    <n v="2.3106251912931614E-4"/>
    <n v="0.99815208258812571"/>
    <s v="C"/>
    <s v="Y"/>
    <s v="CY"/>
    <s v="Low-Priority Monitoring"/>
    <s v="Monthly Review"/>
    <s v="Low Priority Monitoring"/>
    <s v="Low"/>
    <n v="40"/>
    <x v="1"/>
  </r>
  <r>
    <s v="ITEM056"/>
    <s v="Flange"/>
    <s v="Finished Goods"/>
    <x v="1"/>
    <n v="83"/>
    <n v="138"/>
    <n v="83"/>
    <n v="21"/>
    <n v="62.09"/>
    <n v="0.15"/>
    <n v="154"/>
    <n v="0.9"/>
    <n v="9"/>
    <n v="4.5999999999999996"/>
    <n v="4.5999999999999996"/>
    <n v="0.60144927536231885"/>
    <s v="Highly veriable"/>
    <n v="380.35378268133468"/>
    <n v="405.9537826813347"/>
    <n v="-322.9537826813347"/>
    <s v=" Need to Order"/>
    <n v="1656"/>
    <n v="102821.04000000001"/>
    <m/>
    <n v="2.3052497673117404E-4"/>
    <n v="0.99838260756485686"/>
    <s v="C"/>
    <s v="Z"/>
    <s v="CZ"/>
    <s v="Minimal Control"/>
    <s v="Quarterly"/>
    <s v="Reduce Inventory Exposure"/>
    <s v="Low"/>
    <n v="50"/>
    <x v="2"/>
  </r>
  <r>
    <s v="ITEM131"/>
    <s v="Valve"/>
    <s v="Finished Goods"/>
    <x v="4"/>
    <n v="194"/>
    <n v="57"/>
    <n v="79"/>
    <n v="25"/>
    <n v="145.47999999999999"/>
    <n v="0.09"/>
    <n v="483"/>
    <n v="0.87"/>
    <n v="10"/>
    <n v="1.9"/>
    <n v="1.9"/>
    <n v="1.3859649122807018"/>
    <s v="Highly veriable"/>
    <n v="395"/>
    <n v="421.9"/>
    <n v="-227.89999999999998"/>
    <s v=" Need to Order"/>
    <n v="684"/>
    <n v="99508.319999999992"/>
    <m/>
    <n v="2.2309785188477199E-4"/>
    <n v="0.99860570541674165"/>
    <s v="C"/>
    <s v="Z"/>
    <s v="CZ"/>
    <s v="Minimal Control"/>
    <s v="Quarterly"/>
    <s v="Reduce Inventory Exposure"/>
    <s v="Low"/>
    <n v="50"/>
    <x v="2"/>
  </r>
  <r>
    <s v="ITEM035"/>
    <s v="Sheet"/>
    <s v="Finished Goods"/>
    <x v="0"/>
    <n v="89"/>
    <n v="98"/>
    <n v="61"/>
    <n v="12"/>
    <n v="83.02"/>
    <n v="0.13"/>
    <n v="515"/>
    <n v="0.85"/>
    <n v="9"/>
    <n v="3.2666666666666666"/>
    <n v="3.2666666666666666"/>
    <n v="0.62244897959183676"/>
    <s v="Highly veriable"/>
    <n v="211.31019852340302"/>
    <n v="226.57686519006967"/>
    <n v="-137.57686519006967"/>
    <s v=" Need to Order"/>
    <n v="1176"/>
    <n v="97631.51999999999"/>
    <m/>
    <n v="2.1889006254195785E-4"/>
    <n v="0.99882459547928359"/>
    <s v="C"/>
    <s v="Z"/>
    <s v="CZ"/>
    <s v="Minimal Control"/>
    <s v="Quarterly"/>
    <s v="Reduce Inventory Exposure"/>
    <s v="Low"/>
    <n v="50"/>
    <x v="2"/>
  </r>
  <r>
    <s v="ITEM041"/>
    <s v="Tube"/>
    <s v="Finished Goods"/>
    <x v="0"/>
    <n v="902"/>
    <n v="89"/>
    <n v="76"/>
    <n v="8"/>
    <n v="84.43"/>
    <n v="0.18"/>
    <n v="533"/>
    <n v="0.83"/>
    <n v="7"/>
    <n v="2.9666666666666668"/>
    <n v="2.9666666666666668"/>
    <n v="0.8539325842696629"/>
    <s v="Highly veriable"/>
    <n v="214.96046148071045"/>
    <n v="225.92712814737712"/>
    <n v="676.07287185262294"/>
    <s v=" Safe"/>
    <n v="1068"/>
    <n v="90171.24"/>
    <m/>
    <n v="2.0216409990427163E-4"/>
    <n v="0.99902675957918785"/>
    <s v="C"/>
    <s v="Z"/>
    <s v="CZ"/>
    <s v="Minimal Control"/>
    <s v="Quarterly"/>
    <s v="Reduce Inventory Exposure"/>
    <s v="Low"/>
    <n v="40"/>
    <x v="1"/>
  </r>
  <r>
    <s v="ITEM425"/>
    <s v="Pipe B"/>
    <s v="Finished Goods"/>
    <x v="3"/>
    <n v="271"/>
    <n v="93"/>
    <n v="42"/>
    <n v="17"/>
    <n v="79.989999999999995"/>
    <n v="0.09"/>
    <n v="217"/>
    <n v="0.99"/>
    <n v="8"/>
    <n v="3.1"/>
    <n v="3.1"/>
    <n v="0.45161290322580644"/>
    <s v="Moderate"/>
    <n v="173.17043627594174"/>
    <n v="193.27043627594173"/>
    <n v="77.729563724058266"/>
    <s v=" Risk"/>
    <n v="1116"/>
    <n v="89268.84"/>
    <m/>
    <n v="2.0014091730465765E-4"/>
    <n v="0.99922690049649254"/>
    <s v="C"/>
    <s v="Y"/>
    <s v="CY"/>
    <s v="Low-Priority Monitoring"/>
    <s v="Monthly Review"/>
    <s v="Low Priority Monitoring"/>
    <s v="Low"/>
    <n v="50"/>
    <x v="2"/>
  </r>
  <r>
    <s v="ITEM335"/>
    <s v="Rod"/>
    <s v="Finished Goods"/>
    <x v="0"/>
    <n v="300"/>
    <n v="68"/>
    <n v="88"/>
    <n v="25"/>
    <n v="107.87"/>
    <n v="0.24"/>
    <n v="778"/>
    <n v="0.71"/>
    <n v="3"/>
    <n v="2.2666666666666666"/>
    <n v="2.2666666666666666"/>
    <n v="1.2941176470588236"/>
    <s v="Highly veriable"/>
    <n v="440"/>
    <n v="467.26666666666665"/>
    <n v="-167.26666666666665"/>
    <s v=" Need to Order"/>
    <n v="816"/>
    <n v="88021.92"/>
    <m/>
    <n v="1.973453201779836E-4"/>
    <n v="0.99942424581667055"/>
    <s v="C"/>
    <s v="Z"/>
    <s v="CZ"/>
    <s v="Minimal Control"/>
    <s v="Quarterly"/>
    <s v="Reduce Inventory Exposure"/>
    <s v="Low"/>
    <n v="30"/>
    <x v="1"/>
  </r>
  <r>
    <s v="ITEM322"/>
    <s v="Rod"/>
    <s v="Finished Goods"/>
    <x v="1"/>
    <n v="697"/>
    <n v="79"/>
    <n v="77"/>
    <n v="18"/>
    <n v="84.13"/>
    <n v="0.22"/>
    <n v="713"/>
    <n v="0.86"/>
    <n v="7"/>
    <n v="2.6333333333333333"/>
    <n v="2.6333333333333333"/>
    <n v="0.97468354430379744"/>
    <s v="Highly veriable"/>
    <n v="326.68333290818492"/>
    <n v="347.31666624151825"/>
    <n v="349.68333375848175"/>
    <s v=" Safe"/>
    <n v="948"/>
    <n v="79755.239999999991"/>
    <m/>
    <n v="1.7881140713213168E-4"/>
    <n v="0.99960305722380272"/>
    <s v="C"/>
    <s v="Z"/>
    <s v="CZ"/>
    <s v="Minimal Control"/>
    <s v="Quarterly"/>
    <s v="Reduce Inventory Exposure"/>
    <s v="Low"/>
    <n v="40"/>
    <x v="1"/>
  </r>
  <r>
    <s v="ITEM496"/>
    <s v="Pipe B"/>
    <s v="Raw Material"/>
    <x v="1"/>
    <n v="302"/>
    <n v="78"/>
    <n v="51"/>
    <n v="1"/>
    <n v="80.62"/>
    <n v="0.24"/>
    <n v="559"/>
    <n v="0.78"/>
    <n v="5"/>
    <n v="2.6"/>
    <n v="2.6"/>
    <n v="0.65384615384615385"/>
    <s v="Highly veriable"/>
    <n v="51"/>
    <n v="54.6"/>
    <n v="247.4"/>
    <s v=" Safe"/>
    <n v="936"/>
    <n v="75460.320000000007"/>
    <m/>
    <n v="1.6918218792697436E-4"/>
    <n v="0.99977223941172966"/>
    <s v="C"/>
    <s v="Z"/>
    <s v="CZ"/>
    <s v="Minimal Control"/>
    <s v="Quarterly"/>
    <s v="Reduce Inventory Exposure"/>
    <s v="Low"/>
    <n v="40"/>
    <x v="1"/>
  </r>
  <r>
    <s v="ITEM345"/>
    <s v="Sheet"/>
    <s v="Finished Goods"/>
    <x v="3"/>
    <n v="724"/>
    <n v="86"/>
    <n v="46"/>
    <n v="1"/>
    <n v="54.07"/>
    <n v="0.23"/>
    <n v="449"/>
    <n v="0.96"/>
    <n v="4"/>
    <n v="2.8666666666666667"/>
    <n v="2.8666666666666667"/>
    <n v="0.53488372093023251"/>
    <s v="Highly veriable"/>
    <n v="46"/>
    <n v="49.866666666666667"/>
    <n v="674.13333333333333"/>
    <s v=" Safe"/>
    <n v="1032"/>
    <n v="55800.24"/>
    <m/>
    <n v="1.2510424935979956E-4"/>
    <n v="0.99989734366108951"/>
    <s v="C"/>
    <s v="Z"/>
    <s v="CZ"/>
    <s v="Minimal Control"/>
    <s v="Quarterly"/>
    <s v="Reduce Inventory Exposure"/>
    <s v="Low"/>
    <n v="30"/>
    <x v="1"/>
  </r>
  <r>
    <s v="ITEM179"/>
    <s v="Flange"/>
    <s v="Finished Goods"/>
    <x v="0"/>
    <n v="627"/>
    <n v="67"/>
    <n v="95"/>
    <n v="12"/>
    <n v="56.95"/>
    <n v="0.19"/>
    <n v="821"/>
    <n v="0.96"/>
    <n v="7"/>
    <n v="2.2333333333333334"/>
    <n v="2.2333333333333334"/>
    <n v="1.4179104477611941"/>
    <s v="Highly veriable"/>
    <n v="329.08965343808666"/>
    <n v="343.32298677142001"/>
    <n v="283.67701322857999"/>
    <s v=" Risk"/>
    <n v="804"/>
    <n v="45787.8"/>
    <m/>
    <n v="1.0265633891246043E-4"/>
    <n v="1.000000000000002"/>
    <s v="C"/>
    <s v="Z"/>
    <s v="CZ"/>
    <s v="Minimal Control"/>
    <s v="Quarterly"/>
    <s v="Reduce Inventory Exposure"/>
    <s v="Low"/>
    <n v="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D9B5A-4532-4ACA-A8C2-DD7C535BFFF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lier" colHeaderCaption="">
  <location ref="M4:R11" firstHeaderRow="1" firstDataRow="2" firstDataCol="1"/>
  <pivotFields count="35">
    <pivotField dataField="1"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showAll="0"/>
    <pivotField numFmtId="1"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4"/>
  </colFields>
  <colItems count="5">
    <i>
      <x/>
    </i>
    <i>
      <x v="1"/>
    </i>
    <i>
      <x v="2"/>
    </i>
    <i>
      <x v="3"/>
    </i>
    <i t="grand">
      <x/>
    </i>
  </colItems>
  <dataFields count="1">
    <dataField name="Supplier VS Risk _x000a_level score" fld="0" subtotal="count" baseField="0" baseItem="0"/>
  </dataFields>
  <formats count="1">
    <format dxfId="1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95891-9A5A-466D-B594-8B77B4DA24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 Level">
  <location ref="M14:N19" firstHeaderRow="1" firstDataRow="1" firstDataCol="1"/>
  <pivotFields count="1">
    <pivotField axis="axisRow" dataField="1" showAll="0" sortType="ascending">
      <items count="6">
        <item x="3"/>
        <item x="0"/>
        <item x="2"/>
        <item x="1"/>
        <item h="1"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Item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F24A4-F144-4BBE-8F81-42B0876A5D20}" name="tblInventory" displayName="tblInventory" ref="A1:AI501" totalsRowShown="0" headerRowDxfId="2">
  <autoFilter ref="A1:AI501" xr:uid="{569F24A4-F144-4BBE-8F81-42B0876A5D20}"/>
  <tableColumns count="35">
    <tableColumn id="1" xr3:uid="{78E67DDB-7362-4BD4-8DD9-9AFC26FC9B5C}" name="Item_ID"/>
    <tableColumn id="2" xr3:uid="{4D7EDF3D-6B1F-4658-8102-9FA4F266006C}" name="Product_Name"/>
    <tableColumn id="3" xr3:uid="{F497ED0C-1348-4D3E-85BC-A2E6171C841B}" name="Category"/>
    <tableColumn id="4" xr3:uid="{1BA27DA4-89BA-45AC-925C-5C0BEB76CF4D}" name="Supplier"/>
    <tableColumn id="5" xr3:uid="{AD761550-D765-4CA0-9350-0044B9D3FF54}" name="Current_Stock"/>
    <tableColumn id="6" xr3:uid="{CC376F45-C4D8-442E-9C5A-1806395D71F2}" name="Avg_Monthly_Demand"/>
    <tableColumn id="7" xr3:uid="{AE1A9F10-831F-47C5-98D0-6F8BB6FEC7F1}" name="Demand_Std_Dev"/>
    <tableColumn id="8" xr3:uid="{85EB2525-67BC-418F-A245-212144226B1C}" name="Lead_Time_Days"/>
    <tableColumn id="9" xr3:uid="{C8DAFFA7-7C40-499E-9667-3298B690B5B4}" name="Cost_Per_Unit"/>
    <tableColumn id="10" xr3:uid="{5DB8C8F8-6E8E-4B2E-9096-8A3E0278F8DC}" name="Holding_Cost_%"/>
    <tableColumn id="11" xr3:uid="{D315E28D-48EB-4347-90C7-64444840A772}" name="Order_Cost"/>
    <tableColumn id="12" xr3:uid="{D8803270-93DA-49E0-A586-409DC5EF10A1}" name="Supplier_Reliability"/>
    <tableColumn id="13" xr3:uid="{1FCA30C6-B8AC-4A47-ADDD-769F0D9BCC24}" name="Lead_Time_Variability"/>
    <tableColumn id="14" xr3:uid="{A91A90D4-C769-4F4B-A9B3-3F7A92458985}" name="Daily_Demand" dataDxfId="10">
      <calculatedColumnFormula>F2/30</calculatedColumnFormula>
    </tableColumn>
    <tableColumn id="15" xr3:uid="{DE67B488-88E9-4471-B85A-19AB08830EAD}" name="Adjusted Demand" dataDxfId="9">
      <calculatedColumnFormula>N2*(1+Control_Panel!$B$2)</calculatedColumnFormula>
    </tableColumn>
    <tableColumn id="16" xr3:uid="{B1DCC37C-93DD-43BC-A6A1-A4B385B0EE88}" name="Demand_Variability_%" dataDxfId="8" dataCellStyle="Percent">
      <calculatedColumnFormula>G2/F2</calculatedColumnFormula>
    </tableColumn>
    <tableColumn id="17" xr3:uid="{B398EBBE-9204-46EA-9AC3-301FD47FA12A}" name="Demand_Variability_Status">
      <calculatedColumnFormula array="1">_xlfn.IFS(P2&lt;0.2,"Stable",P2&lt;=0.5,"Moderate",P2&gt;0.5,"Highly veriable")</calculatedColumnFormula>
    </tableColumn>
    <tableColumn id="18" xr3:uid="{B0F76ABF-19E3-4AF8-B0D1-C9BD99E80A4D}" name="Safety_Stock" dataDxfId="7">
      <calculatedColumnFormula>G2*SQRT(H2)</calculatedColumnFormula>
    </tableColumn>
    <tableColumn id="19" xr3:uid="{3A0BACAC-84B6-46D1-BA7B-BCAA46AE9E96}" name="Reorder_Level" dataDxfId="6">
      <calculatedColumnFormula>O2+H2+R2</calculatedColumnFormula>
    </tableColumn>
    <tableColumn id="20" xr3:uid="{604C4B55-972F-4761-88B9-7190E2A1D769}" name="Stock_Gap" dataDxfId="5">
      <calculatedColumnFormula>E2-S2</calculatedColumnFormula>
    </tableColumn>
    <tableColumn id="21" xr3:uid="{1140CF92-055B-487C-9688-F29149791317}" name="Stock_Status">
      <calculatedColumnFormula>IF(T2&lt;0," Need to Order",
   IF(T2&lt;=R2," Risk",
      " Safe"))</calculatedColumnFormula>
    </tableColumn>
    <tableColumn id="22" xr3:uid="{7300CD81-F524-4EAC-899E-2B181D61138D}" name="Annual_Demand">
      <calculatedColumnFormula>F2*12</calculatedColumnFormula>
    </tableColumn>
    <tableColumn id="23" xr3:uid="{F8FE0EE3-AE06-4B83-8B0C-0FB37B5534AE}" name="Annual_Consumption_Value" dataDxfId="4">
      <calculatedColumnFormula>V2*I2</calculatedColumnFormula>
    </tableColumn>
    <tableColumn id="24" xr3:uid="{816E85AF-F03D-4C47-9CE0-6637335BC357}" name="Annual_Consumption_Value2"/>
    <tableColumn id="25" xr3:uid="{307EF8E7-8616-43D2-A3AA-FE5F7AD46D28}" name="Value_Contribution_%">
      <calculatedColumnFormula>W2/$X$3</calculatedColumnFormula>
    </tableColumn>
    <tableColumn id="26" xr3:uid="{D9CB4548-39F9-4EA0-91BF-77A561F818F1}" name="Cumulative_%" dataDxfId="3" dataCellStyle="Percent">
      <calculatedColumnFormula>Z1+Y2</calculatedColumnFormula>
    </tableColumn>
    <tableColumn id="27" xr3:uid="{20EB5C09-4A39-4D06-A2AE-38D2C57DB489}" name="ABC_Class">
      <calculatedColumnFormula>IF(Z2&lt;=80%,"A",IF(Z2&lt;=95%,"B","C"))</calculatedColumnFormula>
    </tableColumn>
    <tableColumn id="28" xr3:uid="{32AA52DD-64FE-4AA4-88CB-3434258A25C6}" name="XYZ_Class">
      <calculatedColumnFormula>IF(P2&lt;=20%,"X",IF(P2&lt;=50%,"Y","Z"))</calculatedColumnFormula>
    </tableColumn>
    <tableColumn id="29" xr3:uid="{EF13B5B5-54EA-4017-909F-302165D9D657}" name="Inventory_Class">
      <calculatedColumnFormula>AA2&amp;AB2</calculatedColumnFormula>
    </tableColumn>
    <tableColumn id="30" xr3:uid="{B50B6BE5-5E0A-4CF0-9DD9-389CD5DBEBC9}" name="Strategy_Type">
      <calculatedColumnFormula>IF(AC2="AX","Strict Control",
IF(AC2="AY","Frequent Monitoring",
IF(AC2="AZ","Risk-Control Strategy",
IF(AC2="BX","Standard Control",
IF(AC2="BY","Periodic Review",
IF(AC2="BZ","Risk Monitoring",
IF(AC2="CX","Simplified Bulk Control",
IF(AC2="CY","Low-Priority Monitoring",
IF(AC2="CZ","Minimal Control","Check")))))))))</calculatedColumnFormula>
    </tableColumn>
    <tableColumn id="31" xr3:uid="{D89FCD61-FE32-4177-8759-8861872C7023}" name="Review_Frequency">
      <calculatedColumnFormula>IF(AC2="AX","Daily",
IF(AC2="AY","Every 2 Days",
IF(AC2="AZ","Daily + Manager Review",
IF(AC2="BX","Weekly",
IF(AC2="BY","Bi-Weekly",
IF(AC2="BZ","Weekly Risk Review",
IF(AC2="CX","Monthly",
IF(AC2="CY","Monthly Review",
IF(AC2="CZ","Quarterly","Check")))))))))</calculatedColumnFormula>
    </tableColumn>
    <tableColumn id="32" xr3:uid="{EFB8AD94-D4D3-450B-B515-A24B3063F565}" name="Recommended_Action">
      <calculatedColumnFormula>IF(AC2="AX","Strict Replenishment",
IF(AC2="AY","Frequent Monitoring",
IF(AC2="AZ","Increase Safety Stock",
IF(AC2="BX","Standard Replenishment",
IF(AC2="BY","Periodic Review",
IF(AC2="BZ","Monitor Demand Variability",
IF(AC2="CX","Bulk Ordering",
IF(AC2="CY","Low Priority Monitoring",
IF(AC2="CZ","Reduce Inventory Exposure",
"Check")))))))))</calculatedColumnFormula>
    </tableColumn>
    <tableColumn id="33" xr3:uid="{0ECF971B-F46E-4105-A8DE-27EACF6E24D9}" name="Risk_Level">
      <calculatedColumnFormula>IF(AC2="AZ","Critical",
IF(AC2="AY","High",
IF(AC2="BZ","Medium",
IF(U2="Need to Order","Medium",
"Low"))))</calculatedColumnFormula>
    </tableColumn>
    <tableColumn id="34" xr3:uid="{04A017F5-C1C7-4385-892F-282433854F4B}" name="Risk_Score">
      <calculatedColumnFormula>IF(AC2="AZ",40,
IF(AC2="AY",30,
IF(AC2="AX",20,10)))
+
IF(U2="Need to Order",30,
IF(U2="Risk",15,0))
+
IF(L2&lt;70,20,
IF(L2&lt;85,10,0))
+
IF(M2&gt;7,20,
IF(M2&gt;4,10,0))</calculatedColumnFormula>
    </tableColumn>
    <tableColumn id="35" xr3:uid="{18B20D54-B70C-4791-AA72-2EF1997F054B}" name="Final_Risk_Level">
      <calculatedColumnFormula>IF(AH2&gt;=70,"Critical",
IF(AH2&gt;=60,"High",
IF(AH2&gt;=50,"Medium",
"Low")))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1"/>
  <sheetViews>
    <sheetView workbookViewId="0">
      <pane ySplit="1" topLeftCell="A476" activePane="bottomLeft" state="frozen"/>
      <selection activeCell="V1" sqref="V1"/>
      <selection pane="bottomLeft"/>
    </sheetView>
  </sheetViews>
  <sheetFormatPr defaultRowHeight="14.4"/>
  <cols>
    <col min="1" max="1" width="9.5546875" customWidth="1"/>
    <col min="2" max="2" width="15.5546875" customWidth="1"/>
    <col min="3" max="3" width="13.33203125" bestFit="1" customWidth="1"/>
    <col min="4" max="4" width="9.77734375" customWidth="1"/>
    <col min="5" max="5" width="14.88671875" customWidth="1"/>
    <col min="6" max="6" width="22.44140625" customWidth="1"/>
    <col min="7" max="7" width="18" customWidth="1"/>
    <col min="8" max="8" width="17" customWidth="1"/>
    <col min="9" max="9" width="14.88671875" customWidth="1"/>
    <col min="10" max="10" width="16.44140625" customWidth="1"/>
    <col min="11" max="11" width="12.33203125" customWidth="1"/>
    <col min="12" max="12" width="18.88671875" customWidth="1"/>
    <col min="13" max="13" width="21.44140625" customWidth="1"/>
    <col min="14" max="14" width="15.109375" style="1" customWidth="1"/>
    <col min="15" max="15" width="18" customWidth="1"/>
    <col min="16" max="16" width="21.88671875" customWidth="1"/>
    <col min="17" max="17" width="25.6640625" customWidth="1"/>
    <col min="18" max="18" width="13.88671875" customWidth="1"/>
    <col min="19" max="19" width="14.88671875" customWidth="1"/>
    <col min="20" max="20" width="11.88671875" customWidth="1"/>
    <col min="21" max="21" width="13.77734375" customWidth="1"/>
    <col min="22" max="22" width="17" customWidth="1"/>
    <col min="23" max="23" width="27" customWidth="1"/>
    <col min="24" max="24" width="28" customWidth="1"/>
    <col min="25" max="25" width="22.44140625" customWidth="1"/>
    <col min="26" max="26" width="14.88671875" customWidth="1"/>
    <col min="27" max="27" width="11.44140625" customWidth="1"/>
    <col min="28" max="28" width="11.109375" customWidth="1"/>
    <col min="29" max="29" width="16.21875" customWidth="1"/>
    <col min="30" max="31" width="20.6640625" bestFit="1" customWidth="1"/>
    <col min="32" max="32" width="23.77734375" bestFit="1" customWidth="1"/>
    <col min="33" max="33" width="11.5546875" customWidth="1"/>
    <col min="34" max="34" width="11.88671875" customWidth="1"/>
    <col min="35" max="35" width="16.4414062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528</v>
      </c>
      <c r="O1" s="6" t="s">
        <v>532</v>
      </c>
      <c r="P1" s="6" t="s">
        <v>533</v>
      </c>
      <c r="Q1" s="6" t="s">
        <v>534</v>
      </c>
      <c r="R1" s="6" t="s">
        <v>535</v>
      </c>
      <c r="S1" s="6" t="s">
        <v>536</v>
      </c>
      <c r="T1" s="7" t="s">
        <v>537</v>
      </c>
      <c r="U1" s="6" t="s">
        <v>538</v>
      </c>
      <c r="V1" s="6" t="s">
        <v>539</v>
      </c>
      <c r="W1" s="8" t="s">
        <v>540</v>
      </c>
      <c r="X1" s="6" t="s">
        <v>563</v>
      </c>
      <c r="Y1" s="10" t="s">
        <v>541</v>
      </c>
      <c r="Z1" s="7" t="s">
        <v>542</v>
      </c>
      <c r="AA1" s="6" t="s">
        <v>543</v>
      </c>
      <c r="AB1" s="6" t="s">
        <v>544</v>
      </c>
      <c r="AC1" s="6" t="s">
        <v>545</v>
      </c>
      <c r="AD1" s="6" t="s">
        <v>546</v>
      </c>
      <c r="AE1" s="6" t="s">
        <v>547</v>
      </c>
      <c r="AF1" s="6" t="s">
        <v>548</v>
      </c>
      <c r="AG1" s="6" t="s">
        <v>549</v>
      </c>
      <c r="AH1" s="6" t="s">
        <v>550</v>
      </c>
      <c r="AI1" s="6" t="s">
        <v>552</v>
      </c>
    </row>
    <row r="2" spans="1:35" ht="15" thickBot="1">
      <c r="A2" t="s">
        <v>420</v>
      </c>
      <c r="B2" t="s">
        <v>34</v>
      </c>
      <c r="C2" t="s">
        <v>15</v>
      </c>
      <c r="D2" t="s">
        <v>23</v>
      </c>
      <c r="E2">
        <v>862</v>
      </c>
      <c r="F2">
        <v>498</v>
      </c>
      <c r="G2">
        <v>20</v>
      </c>
      <c r="H2">
        <v>12</v>
      </c>
      <c r="I2">
        <v>462.26</v>
      </c>
      <c r="J2">
        <v>0.14000000000000001</v>
      </c>
      <c r="K2">
        <v>775</v>
      </c>
      <c r="L2">
        <v>0.85</v>
      </c>
      <c r="M2">
        <v>9</v>
      </c>
      <c r="N2" s="1">
        <f t="shared" ref="N2:N65" si="0">F2/30</f>
        <v>16.600000000000001</v>
      </c>
      <c r="O2" s="1">
        <f>N2*(1+Control_Panel!$B$2)</f>
        <v>16.600000000000001</v>
      </c>
      <c r="P2" s="12">
        <f t="shared" ref="P2:P65" si="1">G2/F2</f>
        <v>4.0160642570281124E-2</v>
      </c>
      <c r="Q2" t="str" cm="1">
        <f t="array" ref="Q2">_xlfn.IFS(P2&lt;0.2,"Stable",P2&lt;=0.5,"Moderate",P2&gt;0.5,"Highly veriable")</f>
        <v>Stable</v>
      </c>
      <c r="R2" s="1">
        <f t="shared" ref="R2:R65" si="2">G2*SQRT(H2)</f>
        <v>69.282032302755084</v>
      </c>
      <c r="S2" s="1">
        <f t="shared" ref="S2:S65" si="3">O2+H2+R2</f>
        <v>97.882032302755078</v>
      </c>
      <c r="T2" s="1">
        <f t="shared" ref="T2:T65" si="4">E2-S2</f>
        <v>764.11796769724492</v>
      </c>
      <c r="U2" t="str">
        <f t="shared" ref="U2:U65" si="5">IF(T2&lt;0," Need to Order",
   IF(T2&lt;=R2," Risk",
      " Safe"))</f>
        <v xml:space="preserve"> Safe</v>
      </c>
      <c r="V2">
        <f t="shared" ref="V2:V65" si="6">F2*12</f>
        <v>5976</v>
      </c>
      <c r="W2" s="9">
        <f t="shared" ref="W2:W65" si="7">V2*I2</f>
        <v>2762465.76</v>
      </c>
      <c r="Y2">
        <f>W2/$X$3</f>
        <v>6.1934537429758039E-3</v>
      </c>
      <c r="Z2" s="12">
        <f>Y2</f>
        <v>6.1934537429758039E-3</v>
      </c>
      <c r="AA2" t="str">
        <f>IF(Z2&lt;=80%,"A",IF(Z2&lt;=95%,"B","C"))</f>
        <v>A</v>
      </c>
      <c r="AB2" t="str">
        <f>IF(P2&lt;=20%,"X",IF(P2&lt;=50%,"Y","Z"))</f>
        <v>X</v>
      </c>
      <c r="AC2" t="str">
        <f>AA2&amp;AB2</f>
        <v>AX</v>
      </c>
      <c r="AD2" t="str">
        <f>IF(AC2="AX","Strict Control",
IF(AC2="AY","Frequent Monitoring",
IF(AC2="AZ","Risk-Control Strategy",
IF(AC2="BX","Standard Control",
IF(AC2="BY","Periodic Review",
IF(AC2="BZ","Risk Monitoring",
IF(AC2="CX","Simplified Bulk Control",
IF(AC2="CY","Low-Priority Monitoring",
IF(AC2="CZ","Minimal Control","Check")))))))))</f>
        <v>Strict Control</v>
      </c>
      <c r="AE2" t="str">
        <f>IF(AC2="AX","Daily",
IF(AC2="AY","Every 2 Days",
IF(AC2="AZ","Daily + Manager Review",
IF(AC2="BX","Weekly",
IF(AC2="BY","Bi-Weekly",
IF(AC2="BZ","Weekly Risk Review",
IF(AC2="CX","Monthly",
IF(AC2="CY","Monthly Review",
IF(AC2="CZ","Quarterly","Check")))))))))</f>
        <v>Daily</v>
      </c>
      <c r="AF2" t="str">
        <f>IF(AC2="AX","Strict Replenishment",
IF(AC2="AY","Frequent Monitoring",
IF(AC2="AZ","Increase Safety Stock",
IF(AC2="BX","Standard Replenishment",
IF(AC2="BY","Periodic Review",
IF(AC2="BZ","Monitor Demand Variability",
IF(AC2="CX","Bulk Ordering",
IF(AC2="CY","Low Priority Monitoring",
IF(AC2="CZ","Reduce Inventory Exposure",
"Check")))))))))</f>
        <v>Strict Replenishment</v>
      </c>
      <c r="AG2" t="str">
        <f>IF(AC2="AZ","Critical",
IF(AC2="AY","High",
IF(AC2="BZ","Medium",
IF(U2="Need to Order","Medium",
"Low"))))</f>
        <v>Low</v>
      </c>
      <c r="AH2">
        <f>IF(AC2="AZ",40,
IF(AC2="AY",30,
IF(AC2="AX",20,10)))
+
IF(U2="Need to Order",30,
IF(U2="Risk",15,0))
+
IF(L2&lt;70,20,
IF(L2&lt;85,10,0))
+
IF(M2&gt;7,20,
IF(M2&gt;4,10,0))</f>
        <v>60</v>
      </c>
      <c r="AI2" t="str">
        <f>IF(AH2&gt;=70,"Critical",
IF(AH2&gt;=60,"High",
IF(AH2&gt;=50,"Medium",
"Low")))</f>
        <v>High</v>
      </c>
    </row>
    <row r="3" spans="1:35" ht="15" thickBot="1">
      <c r="A3" t="s">
        <v>278</v>
      </c>
      <c r="B3" t="s">
        <v>29</v>
      </c>
      <c r="C3" t="s">
        <v>15</v>
      </c>
      <c r="D3" t="s">
        <v>41</v>
      </c>
      <c r="E3">
        <v>64</v>
      </c>
      <c r="F3">
        <v>464</v>
      </c>
      <c r="G3">
        <v>45</v>
      </c>
      <c r="H3">
        <v>19</v>
      </c>
      <c r="I3">
        <v>495.66</v>
      </c>
      <c r="J3">
        <v>0.12</v>
      </c>
      <c r="K3">
        <v>503</v>
      </c>
      <c r="L3">
        <v>0.8</v>
      </c>
      <c r="M3">
        <v>1</v>
      </c>
      <c r="N3" s="1">
        <f t="shared" si="0"/>
        <v>15.466666666666667</v>
      </c>
      <c r="O3" s="1">
        <f>N3*(1+Control_Panel!$B$2)</f>
        <v>15.466666666666667</v>
      </c>
      <c r="P3" s="12">
        <f t="shared" si="1"/>
        <v>9.6982758620689655E-2</v>
      </c>
      <c r="Q3" t="str" cm="1">
        <f t="array" ref="Q3">_xlfn.IFS(P3&lt;0.2,"Stable",P3&lt;=0.5,"Moderate",P3&gt;0.5,"Highly veriable")</f>
        <v>Stable</v>
      </c>
      <c r="R3" s="1">
        <f t="shared" si="2"/>
        <v>196.15045245933032</v>
      </c>
      <c r="S3" s="1">
        <f t="shared" si="3"/>
        <v>230.61711912599699</v>
      </c>
      <c r="T3" s="1">
        <f t="shared" si="4"/>
        <v>-166.61711912599699</v>
      </c>
      <c r="U3" t="str">
        <f t="shared" si="5"/>
        <v xml:space="preserve"> Need to Order</v>
      </c>
      <c r="V3">
        <f t="shared" si="6"/>
        <v>5568</v>
      </c>
      <c r="W3" s="9">
        <f t="shared" si="7"/>
        <v>2759834.8800000004</v>
      </c>
      <c r="X3" s="11">
        <f>SUM(W2:W501)</f>
        <v>446029933.31999958</v>
      </c>
      <c r="Y3">
        <f t="shared" ref="Y3:Y66" si="8">W3/$X$3</f>
        <v>6.1875553047691647E-3</v>
      </c>
      <c r="Z3" s="12">
        <f>Z2+Y3</f>
        <v>1.238100904774497E-2</v>
      </c>
      <c r="AA3" t="str">
        <f t="shared" ref="AA3:AA66" si="9">IF(Z3&lt;=80%,"A",IF(Z3&lt;=95%,"B","C"))</f>
        <v>A</v>
      </c>
      <c r="AB3" t="str">
        <f t="shared" ref="AB3:AB66" si="10">IF(P3&lt;=20%,"X",IF(P3&lt;=50%,"Y","Z"))</f>
        <v>X</v>
      </c>
      <c r="AC3" t="str">
        <f t="shared" ref="AC3:AC66" si="11">AA3&amp;AB3</f>
        <v>AX</v>
      </c>
      <c r="AD3" t="str">
        <f t="shared" ref="AD3:AD66" si="12">IF(AC3="AX","Strict Control",
IF(AC3="AY","Frequent Monitoring",
IF(AC3="AZ","Risk-Control Strategy",
IF(AC3="BX","Standard Control",
IF(AC3="BY","Periodic Review",
IF(AC3="BZ","Risk Monitoring",
IF(AC3="CX","Simplified Bulk Control",
IF(AC3="CY","Low-Priority Monitoring",
IF(AC3="CZ","Minimal Control","Check")))))))))</f>
        <v>Strict Control</v>
      </c>
      <c r="AE3" t="str">
        <f t="shared" ref="AE3:AE66" si="13">IF(AC3="AX","Daily",
IF(AC3="AY","Every 2 Days",
IF(AC3="AZ","Daily + Manager Review",
IF(AC3="BX","Weekly",
IF(AC3="BY","Bi-Weekly",
IF(AC3="BZ","Weekly Risk Review",
IF(AC3="CX","Monthly",
IF(AC3="CY","Monthly Review",
IF(AC3="CZ","Quarterly","Check")))))))))</f>
        <v>Daily</v>
      </c>
      <c r="AF3" t="str">
        <f t="shared" ref="AF3:AF66" si="14">IF(AC3="AX","Strict Replenishment",
IF(AC3="AY","Frequent Monitoring",
IF(AC3="AZ","Increase Safety Stock",
IF(AC3="BX","Standard Replenishment",
IF(AC3="BY","Periodic Review",
IF(AC3="BZ","Monitor Demand Variability",
IF(AC3="CX","Bulk Ordering",
IF(AC3="CY","Low Priority Monitoring",
IF(AC3="CZ","Reduce Inventory Exposure",
"Check")))))))))</f>
        <v>Strict Replenishment</v>
      </c>
      <c r="AG3" t="str">
        <f t="shared" ref="AG3:AG66" si="15">IF(AC3="AZ","Critical",
IF(AC3="AY","High",
IF(AC3="BZ","Medium",
IF(U3="Need to Order","Medium",
"Low"))))</f>
        <v>Low</v>
      </c>
      <c r="AH3">
        <f t="shared" ref="AH3:AH66" si="16">IF(AC3="AZ",40,
IF(AC3="AY",30,
IF(AC3="AX",20,10)))
+
IF(U3="Need to Order",30,
IF(U3="Risk",15,0))
+
IF(L3&lt;70,20,
IF(L3&lt;85,10,0))
+
IF(M3&gt;7,20,
IF(M3&gt;4,10,0))</f>
        <v>40</v>
      </c>
      <c r="AI3" t="str">
        <f t="shared" ref="AI3:AI66" si="17">IF(AH3&gt;=70,"Critical",
IF(AH3&gt;=60,"High",
IF(AH3&gt;=50,"Medium",
"Low")))</f>
        <v>Low</v>
      </c>
    </row>
    <row r="4" spans="1:35">
      <c r="A4" t="s">
        <v>313</v>
      </c>
      <c r="B4" t="s">
        <v>40</v>
      </c>
      <c r="C4" t="s">
        <v>15</v>
      </c>
      <c r="D4" t="s">
        <v>41</v>
      </c>
      <c r="E4">
        <v>785</v>
      </c>
      <c r="F4">
        <v>487</v>
      </c>
      <c r="G4">
        <v>80</v>
      </c>
      <c r="H4">
        <v>24</v>
      </c>
      <c r="I4">
        <v>471.92</v>
      </c>
      <c r="J4">
        <v>0.15</v>
      </c>
      <c r="K4">
        <v>176</v>
      </c>
      <c r="L4">
        <v>0.86</v>
      </c>
      <c r="M4">
        <v>6</v>
      </c>
      <c r="N4" s="1">
        <f t="shared" si="0"/>
        <v>16.233333333333334</v>
      </c>
      <c r="O4" s="1">
        <f>N4*(1+Control_Panel!$B$2)</f>
        <v>16.233333333333334</v>
      </c>
      <c r="P4" s="12">
        <f t="shared" si="1"/>
        <v>0.16427104722792607</v>
      </c>
      <c r="Q4" t="str" cm="1">
        <f t="array" ref="Q4">_xlfn.IFS(P4&lt;0.2,"Stable",P4&lt;=0.5,"Moderate",P4&gt;0.5,"Highly veriable")</f>
        <v>Stable</v>
      </c>
      <c r="R4" s="1">
        <f t="shared" si="2"/>
        <v>391.91835884530849</v>
      </c>
      <c r="S4" s="1">
        <f t="shared" si="3"/>
        <v>432.15169217864184</v>
      </c>
      <c r="T4" s="1">
        <f t="shared" si="4"/>
        <v>352.84830782135816</v>
      </c>
      <c r="U4" t="str">
        <f t="shared" si="5"/>
        <v xml:space="preserve"> Risk</v>
      </c>
      <c r="V4">
        <f t="shared" si="6"/>
        <v>5844</v>
      </c>
      <c r="W4" s="9">
        <f t="shared" si="7"/>
        <v>2757900.48</v>
      </c>
      <c r="Y4">
        <f t="shared" si="8"/>
        <v>6.1832183761114812E-3</v>
      </c>
      <c r="Z4" s="12">
        <f t="shared" ref="Z4:Z67" si="18">Z3+Y4</f>
        <v>1.8564227423856453E-2</v>
      </c>
      <c r="AA4" t="str">
        <f t="shared" si="9"/>
        <v>A</v>
      </c>
      <c r="AB4" t="str">
        <f t="shared" si="10"/>
        <v>X</v>
      </c>
      <c r="AC4" t="str">
        <f t="shared" si="11"/>
        <v>AX</v>
      </c>
      <c r="AD4" t="str">
        <f t="shared" si="12"/>
        <v>Strict Control</v>
      </c>
      <c r="AE4" t="str">
        <f t="shared" si="13"/>
        <v>Daily</v>
      </c>
      <c r="AF4" t="str">
        <f t="shared" si="14"/>
        <v>Strict Replenishment</v>
      </c>
      <c r="AG4" t="str">
        <f t="shared" si="15"/>
        <v>Low</v>
      </c>
      <c r="AH4">
        <f t="shared" si="16"/>
        <v>50</v>
      </c>
      <c r="AI4" t="str">
        <f t="shared" si="17"/>
        <v>Medium</v>
      </c>
    </row>
    <row r="5" spans="1:35">
      <c r="A5" t="s">
        <v>353</v>
      </c>
      <c r="B5" t="s">
        <v>40</v>
      </c>
      <c r="C5" t="s">
        <v>15</v>
      </c>
      <c r="D5" t="s">
        <v>41</v>
      </c>
      <c r="E5">
        <v>510</v>
      </c>
      <c r="F5">
        <v>455</v>
      </c>
      <c r="G5">
        <v>91</v>
      </c>
      <c r="H5">
        <v>26</v>
      </c>
      <c r="I5">
        <v>495.37</v>
      </c>
      <c r="J5">
        <v>0.08</v>
      </c>
      <c r="K5">
        <v>994</v>
      </c>
      <c r="L5">
        <v>0.8</v>
      </c>
      <c r="M5">
        <v>10</v>
      </c>
      <c r="N5" s="1">
        <f t="shared" si="0"/>
        <v>15.166666666666666</v>
      </c>
      <c r="O5" s="1">
        <f>N5*(1+Control_Panel!$B$2)</f>
        <v>15.166666666666666</v>
      </c>
      <c r="P5" s="12">
        <f t="shared" si="1"/>
        <v>0.2</v>
      </c>
      <c r="Q5" t="str" cm="1">
        <f t="array" ref="Q5">_xlfn.IFS(P5&lt;0.2,"Stable",P5&lt;=0.5,"Moderate",P5&gt;0.5,"Highly veriable")</f>
        <v>Moderate</v>
      </c>
      <c r="R5" s="1">
        <f t="shared" si="2"/>
        <v>464.0107757369434</v>
      </c>
      <c r="S5" s="1">
        <f t="shared" si="3"/>
        <v>505.17744240361009</v>
      </c>
      <c r="T5" s="1">
        <f t="shared" si="4"/>
        <v>4.8225575963899132</v>
      </c>
      <c r="U5" t="str">
        <f t="shared" si="5"/>
        <v xml:space="preserve"> Risk</v>
      </c>
      <c r="V5">
        <f t="shared" si="6"/>
        <v>5460</v>
      </c>
      <c r="W5" s="9">
        <f t="shared" si="7"/>
        <v>2704720.2</v>
      </c>
      <c r="Y5">
        <f t="shared" si="8"/>
        <v>6.0639880822965456E-3</v>
      </c>
      <c r="Z5" s="12">
        <f t="shared" si="18"/>
        <v>2.4628215506152996E-2</v>
      </c>
      <c r="AA5" t="str">
        <f t="shared" si="9"/>
        <v>A</v>
      </c>
      <c r="AB5" t="str">
        <f t="shared" si="10"/>
        <v>X</v>
      </c>
      <c r="AC5" t="str">
        <f t="shared" si="11"/>
        <v>AX</v>
      </c>
      <c r="AD5" t="str">
        <f t="shared" si="12"/>
        <v>Strict Control</v>
      </c>
      <c r="AE5" t="str">
        <f t="shared" si="13"/>
        <v>Daily</v>
      </c>
      <c r="AF5" t="str">
        <f t="shared" si="14"/>
        <v>Strict Replenishment</v>
      </c>
      <c r="AG5" t="str">
        <f t="shared" si="15"/>
        <v>Low</v>
      </c>
      <c r="AH5">
        <f t="shared" si="16"/>
        <v>60</v>
      </c>
      <c r="AI5" t="str">
        <f t="shared" si="17"/>
        <v>High</v>
      </c>
    </row>
    <row r="6" spans="1:35">
      <c r="A6" t="s">
        <v>266</v>
      </c>
      <c r="B6" t="s">
        <v>40</v>
      </c>
      <c r="C6" t="s">
        <v>15</v>
      </c>
      <c r="D6" t="s">
        <v>25</v>
      </c>
      <c r="E6">
        <v>620</v>
      </c>
      <c r="F6">
        <v>473</v>
      </c>
      <c r="G6">
        <v>33</v>
      </c>
      <c r="H6">
        <v>11</v>
      </c>
      <c r="I6">
        <v>476.13</v>
      </c>
      <c r="J6">
        <v>0.24</v>
      </c>
      <c r="K6">
        <v>654</v>
      </c>
      <c r="L6">
        <v>0.92</v>
      </c>
      <c r="M6">
        <v>1</v>
      </c>
      <c r="N6" s="1">
        <f t="shared" si="0"/>
        <v>15.766666666666667</v>
      </c>
      <c r="O6" s="1">
        <f>N6*(1+Control_Panel!$B$2)</f>
        <v>15.766666666666667</v>
      </c>
      <c r="P6" s="12">
        <f t="shared" si="1"/>
        <v>6.9767441860465115E-2</v>
      </c>
      <c r="Q6" t="str" cm="1">
        <f t="array" ref="Q6">_xlfn.IFS(P6&lt;0.2,"Stable",P6&lt;=0.5,"Moderate",P6&gt;0.5,"Highly veriable")</f>
        <v>Stable</v>
      </c>
      <c r="R6" s="1">
        <f t="shared" si="2"/>
        <v>109.4486180817282</v>
      </c>
      <c r="S6" s="1">
        <f t="shared" si="3"/>
        <v>136.21528474839488</v>
      </c>
      <c r="T6" s="1">
        <f t="shared" si="4"/>
        <v>483.78471525160512</v>
      </c>
      <c r="U6" t="str">
        <f t="shared" si="5"/>
        <v xml:space="preserve"> Safe</v>
      </c>
      <c r="V6">
        <f t="shared" si="6"/>
        <v>5676</v>
      </c>
      <c r="W6" s="9">
        <f t="shared" si="7"/>
        <v>2702513.88</v>
      </c>
      <c r="Y6">
        <f t="shared" si="8"/>
        <v>6.0590415084565844E-3</v>
      </c>
      <c r="Z6" s="12">
        <f t="shared" si="18"/>
        <v>3.068725701460958E-2</v>
      </c>
      <c r="AA6" t="str">
        <f t="shared" si="9"/>
        <v>A</v>
      </c>
      <c r="AB6" t="str">
        <f t="shared" si="10"/>
        <v>X</v>
      </c>
      <c r="AC6" t="str">
        <f t="shared" si="11"/>
        <v>AX</v>
      </c>
      <c r="AD6" t="str">
        <f t="shared" si="12"/>
        <v>Strict Control</v>
      </c>
      <c r="AE6" t="str">
        <f t="shared" si="13"/>
        <v>Daily</v>
      </c>
      <c r="AF6" t="str">
        <f t="shared" si="14"/>
        <v>Strict Replenishment</v>
      </c>
      <c r="AG6" t="str">
        <f t="shared" si="15"/>
        <v>Low</v>
      </c>
      <c r="AH6">
        <f t="shared" si="16"/>
        <v>40</v>
      </c>
      <c r="AI6" t="str">
        <f t="shared" si="17"/>
        <v>Low</v>
      </c>
    </row>
    <row r="7" spans="1:35">
      <c r="A7" t="s">
        <v>135</v>
      </c>
      <c r="B7" t="s">
        <v>36</v>
      </c>
      <c r="C7" t="s">
        <v>15</v>
      </c>
      <c r="D7" t="s">
        <v>23</v>
      </c>
      <c r="E7">
        <v>286</v>
      </c>
      <c r="F7">
        <v>484</v>
      </c>
      <c r="G7">
        <v>79</v>
      </c>
      <c r="H7">
        <v>25</v>
      </c>
      <c r="I7">
        <v>459.6</v>
      </c>
      <c r="J7">
        <v>0.14000000000000001</v>
      </c>
      <c r="K7">
        <v>663</v>
      </c>
      <c r="L7">
        <v>0.85</v>
      </c>
      <c r="M7">
        <v>8</v>
      </c>
      <c r="N7" s="1">
        <f t="shared" si="0"/>
        <v>16.133333333333333</v>
      </c>
      <c r="O7" s="1">
        <f>N7*(1+Control_Panel!$B$2)</f>
        <v>16.133333333333333</v>
      </c>
      <c r="P7" s="12">
        <f t="shared" si="1"/>
        <v>0.16322314049586778</v>
      </c>
      <c r="Q7" t="str" cm="1">
        <f t="array" ref="Q7">_xlfn.IFS(P7&lt;0.2,"Stable",P7&lt;=0.5,"Moderate",P7&gt;0.5,"Highly veriable")</f>
        <v>Stable</v>
      </c>
      <c r="R7" s="1">
        <f t="shared" si="2"/>
        <v>395</v>
      </c>
      <c r="S7" s="1">
        <f t="shared" si="3"/>
        <v>436.13333333333333</v>
      </c>
      <c r="T7" s="1">
        <f t="shared" si="4"/>
        <v>-150.13333333333333</v>
      </c>
      <c r="U7" t="str">
        <f t="shared" si="5"/>
        <v xml:space="preserve"> Need to Order</v>
      </c>
      <c r="V7">
        <f t="shared" si="6"/>
        <v>5808</v>
      </c>
      <c r="W7" s="9">
        <f t="shared" si="7"/>
        <v>2669356.8000000003</v>
      </c>
      <c r="Y7">
        <f t="shared" si="8"/>
        <v>5.9847032689729768E-3</v>
      </c>
      <c r="Z7" s="12">
        <f t="shared" si="18"/>
        <v>3.6671960283582557E-2</v>
      </c>
      <c r="AA7" t="str">
        <f t="shared" si="9"/>
        <v>A</v>
      </c>
      <c r="AB7" t="str">
        <f t="shared" si="10"/>
        <v>X</v>
      </c>
      <c r="AC7" t="str">
        <f t="shared" si="11"/>
        <v>AX</v>
      </c>
      <c r="AD7" t="str">
        <f t="shared" si="12"/>
        <v>Strict Control</v>
      </c>
      <c r="AE7" t="str">
        <f t="shared" si="13"/>
        <v>Daily</v>
      </c>
      <c r="AF7" t="str">
        <f t="shared" si="14"/>
        <v>Strict Replenishment</v>
      </c>
      <c r="AG7" t="str">
        <f t="shared" si="15"/>
        <v>Low</v>
      </c>
      <c r="AH7">
        <f t="shared" si="16"/>
        <v>60</v>
      </c>
      <c r="AI7" t="str">
        <f t="shared" si="17"/>
        <v>High</v>
      </c>
    </row>
    <row r="8" spans="1:35">
      <c r="A8" t="s">
        <v>356</v>
      </c>
      <c r="B8" t="s">
        <v>14</v>
      </c>
      <c r="C8" t="s">
        <v>15</v>
      </c>
      <c r="D8" t="s">
        <v>23</v>
      </c>
      <c r="E8">
        <v>76</v>
      </c>
      <c r="F8">
        <v>474</v>
      </c>
      <c r="G8">
        <v>71</v>
      </c>
      <c r="H8">
        <v>26</v>
      </c>
      <c r="I8">
        <v>467.82</v>
      </c>
      <c r="J8">
        <v>0.24</v>
      </c>
      <c r="K8">
        <v>195</v>
      </c>
      <c r="L8">
        <v>0.97</v>
      </c>
      <c r="M8">
        <v>7</v>
      </c>
      <c r="N8" s="1">
        <f t="shared" si="0"/>
        <v>15.8</v>
      </c>
      <c r="O8" s="1">
        <f>N8*(1+Control_Panel!$B$2)</f>
        <v>15.8</v>
      </c>
      <c r="P8" s="12">
        <f t="shared" si="1"/>
        <v>0.14978902953586498</v>
      </c>
      <c r="Q8" t="str" cm="1">
        <f t="array" ref="Q8">_xlfn.IFS(P8&lt;0.2,"Stable",P8&lt;=0.5,"Moderate",P8&gt;0.5,"Highly veriable")</f>
        <v>Stable</v>
      </c>
      <c r="R8" s="1">
        <f t="shared" si="2"/>
        <v>362.0303854650877</v>
      </c>
      <c r="S8" s="1">
        <f t="shared" si="3"/>
        <v>403.83038546508772</v>
      </c>
      <c r="T8" s="1">
        <f t="shared" si="4"/>
        <v>-327.83038546508772</v>
      </c>
      <c r="U8" t="str">
        <f t="shared" si="5"/>
        <v xml:space="preserve"> Need to Order</v>
      </c>
      <c r="V8">
        <f t="shared" si="6"/>
        <v>5688</v>
      </c>
      <c r="W8" s="9">
        <f t="shared" si="7"/>
        <v>2660960.16</v>
      </c>
      <c r="Y8">
        <f t="shared" si="8"/>
        <v>5.9658779853479513E-3</v>
      </c>
      <c r="Z8" s="12">
        <f t="shared" si="18"/>
        <v>4.2637838268930507E-2</v>
      </c>
      <c r="AA8" t="str">
        <f t="shared" si="9"/>
        <v>A</v>
      </c>
      <c r="AB8" t="str">
        <f t="shared" si="10"/>
        <v>X</v>
      </c>
      <c r="AC8" t="str">
        <f t="shared" si="11"/>
        <v>AX</v>
      </c>
      <c r="AD8" t="str">
        <f t="shared" si="12"/>
        <v>Strict Control</v>
      </c>
      <c r="AE8" t="str">
        <f t="shared" si="13"/>
        <v>Daily</v>
      </c>
      <c r="AF8" t="str">
        <f t="shared" si="14"/>
        <v>Strict Replenishment</v>
      </c>
      <c r="AG8" t="str">
        <f t="shared" si="15"/>
        <v>Low</v>
      </c>
      <c r="AH8">
        <f t="shared" si="16"/>
        <v>50</v>
      </c>
      <c r="AI8" t="str">
        <f t="shared" si="17"/>
        <v>Medium</v>
      </c>
    </row>
    <row r="9" spans="1:35">
      <c r="A9" t="s">
        <v>480</v>
      </c>
      <c r="B9" t="s">
        <v>38</v>
      </c>
      <c r="C9" t="s">
        <v>22</v>
      </c>
      <c r="D9" t="s">
        <v>41</v>
      </c>
      <c r="E9">
        <v>51</v>
      </c>
      <c r="F9">
        <v>451</v>
      </c>
      <c r="G9">
        <v>48</v>
      </c>
      <c r="H9">
        <v>19</v>
      </c>
      <c r="I9">
        <v>473.43</v>
      </c>
      <c r="J9">
        <v>0.13</v>
      </c>
      <c r="K9">
        <v>704</v>
      </c>
      <c r="L9">
        <v>0.94</v>
      </c>
      <c r="M9">
        <v>9</v>
      </c>
      <c r="N9" s="1">
        <f t="shared" si="0"/>
        <v>15.033333333333333</v>
      </c>
      <c r="O9" s="1">
        <f>N9*(1+Control_Panel!$B$2)</f>
        <v>15.033333333333333</v>
      </c>
      <c r="P9" s="12">
        <f t="shared" si="1"/>
        <v>0.10643015521064302</v>
      </c>
      <c r="Q9" t="str" cm="1">
        <f t="array" ref="Q9">_xlfn.IFS(P9&lt;0.2,"Stable",P9&lt;=0.5,"Moderate",P9&gt;0.5,"Highly veriable")</f>
        <v>Stable</v>
      </c>
      <c r="R9" s="1">
        <f t="shared" si="2"/>
        <v>209.22714928995237</v>
      </c>
      <c r="S9" s="1">
        <f t="shared" si="3"/>
        <v>243.2604826232857</v>
      </c>
      <c r="T9" s="1">
        <f t="shared" si="4"/>
        <v>-192.2604826232857</v>
      </c>
      <c r="U9" t="str">
        <f t="shared" si="5"/>
        <v xml:space="preserve"> Need to Order</v>
      </c>
      <c r="V9">
        <f t="shared" si="6"/>
        <v>5412</v>
      </c>
      <c r="W9" s="9">
        <f t="shared" si="7"/>
        <v>2562203.16</v>
      </c>
      <c r="Y9">
        <f t="shared" si="8"/>
        <v>5.7444645944015015E-3</v>
      </c>
      <c r="Z9" s="12">
        <f t="shared" si="18"/>
        <v>4.8382302863332005E-2</v>
      </c>
      <c r="AA9" t="str">
        <f t="shared" si="9"/>
        <v>A</v>
      </c>
      <c r="AB9" t="str">
        <f t="shared" si="10"/>
        <v>X</v>
      </c>
      <c r="AC9" t="str">
        <f t="shared" si="11"/>
        <v>AX</v>
      </c>
      <c r="AD9" t="str">
        <f t="shared" si="12"/>
        <v>Strict Control</v>
      </c>
      <c r="AE9" t="str">
        <f t="shared" si="13"/>
        <v>Daily</v>
      </c>
      <c r="AF9" t="str">
        <f t="shared" si="14"/>
        <v>Strict Replenishment</v>
      </c>
      <c r="AG9" t="str">
        <f t="shared" si="15"/>
        <v>Low</v>
      </c>
      <c r="AH9">
        <f t="shared" si="16"/>
        <v>60</v>
      </c>
      <c r="AI9" t="str">
        <f t="shared" si="17"/>
        <v>High</v>
      </c>
    </row>
    <row r="10" spans="1:35">
      <c r="A10" t="s">
        <v>202</v>
      </c>
      <c r="B10" t="s">
        <v>14</v>
      </c>
      <c r="C10" t="s">
        <v>22</v>
      </c>
      <c r="D10" t="s">
        <v>16</v>
      </c>
      <c r="E10">
        <v>184</v>
      </c>
      <c r="F10">
        <v>474</v>
      </c>
      <c r="G10">
        <v>26</v>
      </c>
      <c r="H10">
        <v>22</v>
      </c>
      <c r="I10">
        <v>441.51</v>
      </c>
      <c r="J10">
        <v>0.08</v>
      </c>
      <c r="K10">
        <v>855</v>
      </c>
      <c r="L10">
        <v>0.92</v>
      </c>
      <c r="M10">
        <v>2</v>
      </c>
      <c r="N10" s="1">
        <f t="shared" si="0"/>
        <v>15.8</v>
      </c>
      <c r="O10" s="1">
        <f>N10*(1+Control_Panel!$B$2)</f>
        <v>15.8</v>
      </c>
      <c r="P10" s="12">
        <f t="shared" si="1"/>
        <v>5.4852320675105488E-2</v>
      </c>
      <c r="Q10" t="str" cm="1">
        <f t="array" ref="Q10">_xlfn.IFS(P10&lt;0.2,"Stable",P10&lt;=0.5,"Moderate",P10&gt;0.5,"Highly veriable")</f>
        <v>Stable</v>
      </c>
      <c r="R10" s="1">
        <f t="shared" si="2"/>
        <v>121.95080975540917</v>
      </c>
      <c r="S10" s="1">
        <f t="shared" si="3"/>
        <v>159.75080975540916</v>
      </c>
      <c r="T10" s="1">
        <f t="shared" si="4"/>
        <v>24.249190244590835</v>
      </c>
      <c r="U10" t="str">
        <f t="shared" si="5"/>
        <v xml:space="preserve"> Risk</v>
      </c>
      <c r="V10">
        <f t="shared" si="6"/>
        <v>5688</v>
      </c>
      <c r="W10" s="9">
        <f t="shared" si="7"/>
        <v>2511308.88</v>
      </c>
      <c r="Y10">
        <f t="shared" si="8"/>
        <v>5.6303595171454269E-3</v>
      </c>
      <c r="Z10" s="12">
        <f t="shared" si="18"/>
        <v>5.401266238047743E-2</v>
      </c>
      <c r="AA10" t="str">
        <f t="shared" si="9"/>
        <v>A</v>
      </c>
      <c r="AB10" t="str">
        <f t="shared" si="10"/>
        <v>X</v>
      </c>
      <c r="AC10" t="str">
        <f t="shared" si="11"/>
        <v>AX</v>
      </c>
      <c r="AD10" t="str">
        <f t="shared" si="12"/>
        <v>Strict Control</v>
      </c>
      <c r="AE10" t="str">
        <f t="shared" si="13"/>
        <v>Daily</v>
      </c>
      <c r="AF10" t="str">
        <f t="shared" si="14"/>
        <v>Strict Replenishment</v>
      </c>
      <c r="AG10" t="str">
        <f t="shared" si="15"/>
        <v>Low</v>
      </c>
      <c r="AH10">
        <f t="shared" si="16"/>
        <v>40</v>
      </c>
      <c r="AI10" t="str">
        <f t="shared" si="17"/>
        <v>Low</v>
      </c>
    </row>
    <row r="11" spans="1:35">
      <c r="A11" t="s">
        <v>32</v>
      </c>
      <c r="B11" t="s">
        <v>18</v>
      </c>
      <c r="C11" t="s">
        <v>22</v>
      </c>
      <c r="D11" t="s">
        <v>25</v>
      </c>
      <c r="E11">
        <v>101</v>
      </c>
      <c r="F11">
        <v>467</v>
      </c>
      <c r="G11">
        <v>24</v>
      </c>
      <c r="H11">
        <v>10</v>
      </c>
      <c r="I11">
        <v>446.93</v>
      </c>
      <c r="J11">
        <v>0.22</v>
      </c>
      <c r="K11">
        <v>169</v>
      </c>
      <c r="L11">
        <v>0.91</v>
      </c>
      <c r="M11">
        <v>8</v>
      </c>
      <c r="N11" s="1">
        <f t="shared" si="0"/>
        <v>15.566666666666666</v>
      </c>
      <c r="O11" s="1">
        <f>N11*(1+Control_Panel!$B$2)</f>
        <v>15.566666666666666</v>
      </c>
      <c r="P11" s="12">
        <f t="shared" si="1"/>
        <v>5.1391862955032119E-2</v>
      </c>
      <c r="Q11" t="str" cm="1">
        <f t="array" ref="Q11">_xlfn.IFS(P11&lt;0.2,"Stable",P11&lt;=0.5,"Moderate",P11&gt;0.5,"Highly veriable")</f>
        <v>Stable</v>
      </c>
      <c r="R11" s="1">
        <f t="shared" si="2"/>
        <v>75.894663844041105</v>
      </c>
      <c r="S11" s="1">
        <f t="shared" si="3"/>
        <v>101.46133051070777</v>
      </c>
      <c r="T11" s="1">
        <f t="shared" si="4"/>
        <v>-0.46133051070776787</v>
      </c>
      <c r="U11" t="str">
        <f t="shared" si="5"/>
        <v xml:space="preserve"> Need to Order</v>
      </c>
      <c r="V11">
        <f t="shared" si="6"/>
        <v>5604</v>
      </c>
      <c r="W11" s="9">
        <f t="shared" si="7"/>
        <v>2504595.7200000002</v>
      </c>
      <c r="Y11">
        <f t="shared" si="8"/>
        <v>5.6153085990376878E-3</v>
      </c>
      <c r="Z11" s="12">
        <f t="shared" si="18"/>
        <v>5.9627970979515117E-2</v>
      </c>
      <c r="AA11" t="str">
        <f t="shared" si="9"/>
        <v>A</v>
      </c>
      <c r="AB11" t="str">
        <f t="shared" si="10"/>
        <v>X</v>
      </c>
      <c r="AC11" t="str">
        <f t="shared" si="11"/>
        <v>AX</v>
      </c>
      <c r="AD11" t="str">
        <f t="shared" si="12"/>
        <v>Strict Control</v>
      </c>
      <c r="AE11" t="str">
        <f t="shared" si="13"/>
        <v>Daily</v>
      </c>
      <c r="AF11" t="str">
        <f t="shared" si="14"/>
        <v>Strict Replenishment</v>
      </c>
      <c r="AG11" t="str">
        <f t="shared" si="15"/>
        <v>Low</v>
      </c>
      <c r="AH11">
        <f t="shared" si="16"/>
        <v>60</v>
      </c>
      <c r="AI11" t="str">
        <f t="shared" si="17"/>
        <v>High</v>
      </c>
    </row>
    <row r="12" spans="1:35">
      <c r="A12" t="s">
        <v>261</v>
      </c>
      <c r="B12" t="s">
        <v>18</v>
      </c>
      <c r="C12" t="s">
        <v>15</v>
      </c>
      <c r="D12" t="s">
        <v>25</v>
      </c>
      <c r="E12">
        <v>555</v>
      </c>
      <c r="F12">
        <v>467</v>
      </c>
      <c r="G12">
        <v>45</v>
      </c>
      <c r="H12">
        <v>29</v>
      </c>
      <c r="I12">
        <v>446.8</v>
      </c>
      <c r="J12">
        <v>0.21</v>
      </c>
      <c r="K12">
        <v>121</v>
      </c>
      <c r="L12">
        <v>0.94</v>
      </c>
      <c r="M12">
        <v>3</v>
      </c>
      <c r="N12" s="1">
        <f t="shared" si="0"/>
        <v>15.566666666666666</v>
      </c>
      <c r="O12" s="1">
        <f>N12*(1+Control_Panel!$B$2)</f>
        <v>15.566666666666666</v>
      </c>
      <c r="P12" s="12">
        <f t="shared" si="1"/>
        <v>9.6359743040685231E-2</v>
      </c>
      <c r="Q12" t="str" cm="1">
        <f t="array" ref="Q12">_xlfn.IFS(P12&lt;0.2,"Stable",P12&lt;=0.5,"Moderate",P12&gt;0.5,"Highly veriable")</f>
        <v>Stable</v>
      </c>
      <c r="R12" s="1">
        <f t="shared" si="2"/>
        <v>242.33241632105268</v>
      </c>
      <c r="S12" s="1">
        <f t="shared" si="3"/>
        <v>286.89908298771934</v>
      </c>
      <c r="T12" s="1">
        <f t="shared" si="4"/>
        <v>268.10091701228066</v>
      </c>
      <c r="U12" t="str">
        <f t="shared" si="5"/>
        <v xml:space="preserve"> Safe</v>
      </c>
      <c r="V12">
        <f t="shared" si="6"/>
        <v>5604</v>
      </c>
      <c r="W12" s="9">
        <f t="shared" si="7"/>
        <v>2503867.2000000002</v>
      </c>
      <c r="Y12">
        <f t="shared" si="8"/>
        <v>5.6136752557448344E-3</v>
      </c>
      <c r="Z12" s="12">
        <f t="shared" si="18"/>
        <v>6.5241646235259951E-2</v>
      </c>
      <c r="AA12" t="str">
        <f t="shared" si="9"/>
        <v>A</v>
      </c>
      <c r="AB12" t="str">
        <f t="shared" si="10"/>
        <v>X</v>
      </c>
      <c r="AC12" t="str">
        <f t="shared" si="11"/>
        <v>AX</v>
      </c>
      <c r="AD12" t="str">
        <f t="shared" si="12"/>
        <v>Strict Control</v>
      </c>
      <c r="AE12" t="str">
        <f t="shared" si="13"/>
        <v>Daily</v>
      </c>
      <c r="AF12" t="str">
        <f t="shared" si="14"/>
        <v>Strict Replenishment</v>
      </c>
      <c r="AG12" t="str">
        <f t="shared" si="15"/>
        <v>Low</v>
      </c>
      <c r="AH12">
        <f t="shared" si="16"/>
        <v>40</v>
      </c>
      <c r="AI12" t="str">
        <f t="shared" si="17"/>
        <v>Low</v>
      </c>
    </row>
    <row r="13" spans="1:35">
      <c r="A13" t="s">
        <v>126</v>
      </c>
      <c r="B13" t="s">
        <v>40</v>
      </c>
      <c r="C13" t="s">
        <v>15</v>
      </c>
      <c r="D13" t="s">
        <v>19</v>
      </c>
      <c r="E13">
        <v>891</v>
      </c>
      <c r="F13">
        <v>423</v>
      </c>
      <c r="G13">
        <v>97</v>
      </c>
      <c r="H13">
        <v>24</v>
      </c>
      <c r="I13">
        <v>488.86</v>
      </c>
      <c r="J13">
        <v>0.05</v>
      </c>
      <c r="K13">
        <v>190</v>
      </c>
      <c r="L13">
        <v>0.88</v>
      </c>
      <c r="M13">
        <v>8</v>
      </c>
      <c r="N13" s="1">
        <f t="shared" si="0"/>
        <v>14.1</v>
      </c>
      <c r="O13" s="1">
        <f>N13*(1+Control_Panel!$B$2)</f>
        <v>14.1</v>
      </c>
      <c r="P13" s="12">
        <f t="shared" si="1"/>
        <v>0.2293144208037825</v>
      </c>
      <c r="Q13" t="str" cm="1">
        <f t="array" ref="Q13">_xlfn.IFS(P13&lt;0.2,"Stable",P13&lt;=0.5,"Moderate",P13&gt;0.5,"Highly veriable")</f>
        <v>Moderate</v>
      </c>
      <c r="R13" s="1">
        <f t="shared" si="2"/>
        <v>475.20101009993652</v>
      </c>
      <c r="S13" s="1">
        <f t="shared" si="3"/>
        <v>513.30101009993655</v>
      </c>
      <c r="T13" s="1">
        <f t="shared" si="4"/>
        <v>377.69898990006345</v>
      </c>
      <c r="U13" t="str">
        <f t="shared" si="5"/>
        <v xml:space="preserve"> Risk</v>
      </c>
      <c r="V13">
        <f t="shared" si="6"/>
        <v>5076</v>
      </c>
      <c r="W13" s="9">
        <f t="shared" si="7"/>
        <v>2481453.36</v>
      </c>
      <c r="Y13">
        <f t="shared" si="8"/>
        <v>5.5634233817659648E-3</v>
      </c>
      <c r="Z13" s="12">
        <f t="shared" si="18"/>
        <v>7.0805069617025915E-2</v>
      </c>
      <c r="AA13" t="str">
        <f t="shared" si="9"/>
        <v>A</v>
      </c>
      <c r="AB13" t="str">
        <f t="shared" si="10"/>
        <v>Y</v>
      </c>
      <c r="AC13" t="str">
        <f t="shared" si="11"/>
        <v>AY</v>
      </c>
      <c r="AD13" t="str">
        <f t="shared" si="12"/>
        <v>Frequent Monitoring</v>
      </c>
      <c r="AE13" t="str">
        <f t="shared" si="13"/>
        <v>Every 2 Days</v>
      </c>
      <c r="AF13" t="str">
        <f t="shared" si="14"/>
        <v>Frequent Monitoring</v>
      </c>
      <c r="AG13" t="str">
        <f t="shared" si="15"/>
        <v>High</v>
      </c>
      <c r="AH13">
        <f t="shared" si="16"/>
        <v>70</v>
      </c>
      <c r="AI13" t="str">
        <f t="shared" si="17"/>
        <v>Critical</v>
      </c>
    </row>
    <row r="14" spans="1:35">
      <c r="A14" t="s">
        <v>417</v>
      </c>
      <c r="B14" t="s">
        <v>21</v>
      </c>
      <c r="C14" t="s">
        <v>15</v>
      </c>
      <c r="D14" t="s">
        <v>25</v>
      </c>
      <c r="E14">
        <v>120</v>
      </c>
      <c r="F14">
        <v>439</v>
      </c>
      <c r="G14">
        <v>75</v>
      </c>
      <c r="H14">
        <v>19</v>
      </c>
      <c r="I14">
        <v>470.43</v>
      </c>
      <c r="J14">
        <v>7.0000000000000007E-2</v>
      </c>
      <c r="K14">
        <v>907</v>
      </c>
      <c r="L14">
        <v>0.84</v>
      </c>
      <c r="M14">
        <v>6</v>
      </c>
      <c r="N14" s="1">
        <f t="shared" si="0"/>
        <v>14.633333333333333</v>
      </c>
      <c r="O14" s="1">
        <f>N14*(1+Control_Panel!$B$2)</f>
        <v>14.633333333333333</v>
      </c>
      <c r="P14" s="12">
        <f t="shared" si="1"/>
        <v>0.17084282460136674</v>
      </c>
      <c r="Q14" t="str" cm="1">
        <f t="array" ref="Q14">_xlfn.IFS(P14&lt;0.2,"Stable",P14&lt;=0.5,"Moderate",P14&gt;0.5,"Highly veriable")</f>
        <v>Stable</v>
      </c>
      <c r="R14" s="1">
        <f t="shared" si="2"/>
        <v>326.91742076555056</v>
      </c>
      <c r="S14" s="1">
        <f t="shared" si="3"/>
        <v>360.55075409888389</v>
      </c>
      <c r="T14" s="1">
        <f t="shared" si="4"/>
        <v>-240.55075409888389</v>
      </c>
      <c r="U14" t="str">
        <f t="shared" si="5"/>
        <v xml:space="preserve"> Need to Order</v>
      </c>
      <c r="V14">
        <f t="shared" si="6"/>
        <v>5268</v>
      </c>
      <c r="W14" s="9">
        <f t="shared" si="7"/>
        <v>2478225.2400000002</v>
      </c>
      <c r="Y14">
        <f t="shared" si="8"/>
        <v>5.5561859302882778E-3</v>
      </c>
      <c r="Z14" s="12">
        <f t="shared" si="18"/>
        <v>7.6361255547314197E-2</v>
      </c>
      <c r="AA14" t="str">
        <f t="shared" si="9"/>
        <v>A</v>
      </c>
      <c r="AB14" t="str">
        <f t="shared" si="10"/>
        <v>X</v>
      </c>
      <c r="AC14" t="str">
        <f t="shared" si="11"/>
        <v>AX</v>
      </c>
      <c r="AD14" t="str">
        <f t="shared" si="12"/>
        <v>Strict Control</v>
      </c>
      <c r="AE14" t="str">
        <f t="shared" si="13"/>
        <v>Daily</v>
      </c>
      <c r="AF14" t="str">
        <f t="shared" si="14"/>
        <v>Strict Replenishment</v>
      </c>
      <c r="AG14" t="str">
        <f t="shared" si="15"/>
        <v>Low</v>
      </c>
      <c r="AH14">
        <f t="shared" si="16"/>
        <v>50</v>
      </c>
      <c r="AI14" t="str">
        <f t="shared" si="17"/>
        <v>Medium</v>
      </c>
    </row>
    <row r="15" spans="1:35">
      <c r="A15" t="s">
        <v>133</v>
      </c>
      <c r="B15" t="s">
        <v>14</v>
      </c>
      <c r="C15" t="s">
        <v>15</v>
      </c>
      <c r="D15" t="s">
        <v>41</v>
      </c>
      <c r="E15">
        <v>243</v>
      </c>
      <c r="F15">
        <v>438</v>
      </c>
      <c r="G15">
        <v>78</v>
      </c>
      <c r="H15">
        <v>22</v>
      </c>
      <c r="I15">
        <v>465.84</v>
      </c>
      <c r="J15">
        <v>0.12</v>
      </c>
      <c r="K15">
        <v>341</v>
      </c>
      <c r="L15">
        <v>0.71</v>
      </c>
      <c r="M15">
        <v>7</v>
      </c>
      <c r="N15" s="1">
        <f t="shared" si="0"/>
        <v>14.6</v>
      </c>
      <c r="O15" s="1">
        <f>N15*(1+Control_Panel!$B$2)</f>
        <v>14.6</v>
      </c>
      <c r="P15" s="12">
        <f t="shared" si="1"/>
        <v>0.17808219178082191</v>
      </c>
      <c r="Q15" t="str" cm="1">
        <f t="array" ref="Q15">_xlfn.IFS(P15&lt;0.2,"Stable",P15&lt;=0.5,"Moderate",P15&gt;0.5,"Highly veriable")</f>
        <v>Stable</v>
      </c>
      <c r="R15" s="1">
        <f t="shared" si="2"/>
        <v>365.85242926622755</v>
      </c>
      <c r="S15" s="1">
        <f t="shared" si="3"/>
        <v>402.45242926622757</v>
      </c>
      <c r="T15" s="1">
        <f t="shared" si="4"/>
        <v>-159.45242926622757</v>
      </c>
      <c r="U15" t="str">
        <f t="shared" si="5"/>
        <v xml:space="preserve"> Need to Order</v>
      </c>
      <c r="V15">
        <f t="shared" si="6"/>
        <v>5256</v>
      </c>
      <c r="W15" s="9">
        <f t="shared" si="7"/>
        <v>2448455.04</v>
      </c>
      <c r="Y15">
        <f t="shared" si="8"/>
        <v>5.4894410825189642E-3</v>
      </c>
      <c r="Z15" s="12">
        <f t="shared" si="18"/>
        <v>8.1850696629833158E-2</v>
      </c>
      <c r="AA15" t="str">
        <f t="shared" si="9"/>
        <v>A</v>
      </c>
      <c r="AB15" t="str">
        <f t="shared" si="10"/>
        <v>X</v>
      </c>
      <c r="AC15" t="str">
        <f t="shared" si="11"/>
        <v>AX</v>
      </c>
      <c r="AD15" t="str">
        <f t="shared" si="12"/>
        <v>Strict Control</v>
      </c>
      <c r="AE15" t="str">
        <f t="shared" si="13"/>
        <v>Daily</v>
      </c>
      <c r="AF15" t="str">
        <f t="shared" si="14"/>
        <v>Strict Replenishment</v>
      </c>
      <c r="AG15" t="str">
        <f t="shared" si="15"/>
        <v>Low</v>
      </c>
      <c r="AH15">
        <f t="shared" si="16"/>
        <v>50</v>
      </c>
      <c r="AI15" t="str">
        <f t="shared" si="17"/>
        <v>Medium</v>
      </c>
    </row>
    <row r="16" spans="1:35">
      <c r="A16" t="s">
        <v>336</v>
      </c>
      <c r="B16" t="s">
        <v>36</v>
      </c>
      <c r="C16" t="s">
        <v>15</v>
      </c>
      <c r="D16" t="s">
        <v>23</v>
      </c>
      <c r="E16">
        <v>51</v>
      </c>
      <c r="F16">
        <v>458</v>
      </c>
      <c r="G16">
        <v>51</v>
      </c>
      <c r="H16">
        <v>10</v>
      </c>
      <c r="I16">
        <v>437.88</v>
      </c>
      <c r="J16">
        <v>0.21</v>
      </c>
      <c r="K16">
        <v>278</v>
      </c>
      <c r="L16">
        <v>0.71</v>
      </c>
      <c r="M16">
        <v>3</v>
      </c>
      <c r="N16" s="1">
        <f t="shared" si="0"/>
        <v>15.266666666666667</v>
      </c>
      <c r="O16" s="1">
        <f>N16*(1+Control_Panel!$B$2)</f>
        <v>15.266666666666667</v>
      </c>
      <c r="P16" s="12">
        <f t="shared" si="1"/>
        <v>0.11135371179039301</v>
      </c>
      <c r="Q16" t="str" cm="1">
        <f t="array" ref="Q16">_xlfn.IFS(P16&lt;0.2,"Stable",P16&lt;=0.5,"Moderate",P16&gt;0.5,"Highly veriable")</f>
        <v>Stable</v>
      </c>
      <c r="R16" s="1">
        <f t="shared" si="2"/>
        <v>161.27616066858735</v>
      </c>
      <c r="S16" s="1">
        <f t="shared" si="3"/>
        <v>186.542827335254</v>
      </c>
      <c r="T16" s="1">
        <f t="shared" si="4"/>
        <v>-135.542827335254</v>
      </c>
      <c r="U16" t="str">
        <f t="shared" si="5"/>
        <v xml:space="preserve"> Need to Order</v>
      </c>
      <c r="V16">
        <f t="shared" si="6"/>
        <v>5496</v>
      </c>
      <c r="W16" s="9">
        <f t="shared" si="7"/>
        <v>2406588.48</v>
      </c>
      <c r="Y16">
        <f t="shared" si="8"/>
        <v>5.3955761715064488E-3</v>
      </c>
      <c r="Z16" s="12">
        <f t="shared" si="18"/>
        <v>8.7246272801339605E-2</v>
      </c>
      <c r="AA16" t="str">
        <f t="shared" si="9"/>
        <v>A</v>
      </c>
      <c r="AB16" t="str">
        <f t="shared" si="10"/>
        <v>X</v>
      </c>
      <c r="AC16" t="str">
        <f t="shared" si="11"/>
        <v>AX</v>
      </c>
      <c r="AD16" t="str">
        <f t="shared" si="12"/>
        <v>Strict Control</v>
      </c>
      <c r="AE16" t="str">
        <f t="shared" si="13"/>
        <v>Daily</v>
      </c>
      <c r="AF16" t="str">
        <f t="shared" si="14"/>
        <v>Strict Replenishment</v>
      </c>
      <c r="AG16" t="str">
        <f t="shared" si="15"/>
        <v>Low</v>
      </c>
      <c r="AH16">
        <f t="shared" si="16"/>
        <v>40</v>
      </c>
      <c r="AI16" t="str">
        <f t="shared" si="17"/>
        <v>Low</v>
      </c>
    </row>
    <row r="17" spans="1:35">
      <c r="A17" t="s">
        <v>455</v>
      </c>
      <c r="B17" t="s">
        <v>36</v>
      </c>
      <c r="C17" t="s">
        <v>15</v>
      </c>
      <c r="D17" t="s">
        <v>16</v>
      </c>
      <c r="E17">
        <v>444</v>
      </c>
      <c r="F17">
        <v>437</v>
      </c>
      <c r="G17">
        <v>67</v>
      </c>
      <c r="H17">
        <v>5</v>
      </c>
      <c r="I17">
        <v>457.05</v>
      </c>
      <c r="J17">
        <v>0.06</v>
      </c>
      <c r="K17">
        <v>923</v>
      </c>
      <c r="L17">
        <v>0.79</v>
      </c>
      <c r="M17">
        <v>10</v>
      </c>
      <c r="N17" s="1">
        <f t="shared" si="0"/>
        <v>14.566666666666666</v>
      </c>
      <c r="O17" s="1">
        <f>N17*(1+Control_Panel!$B$2)</f>
        <v>14.566666666666666</v>
      </c>
      <c r="P17" s="12">
        <f t="shared" si="1"/>
        <v>0.15331807780320367</v>
      </c>
      <c r="Q17" t="str" cm="1">
        <f t="array" ref="Q17">_xlfn.IFS(P17&lt;0.2,"Stable",P17&lt;=0.5,"Moderate",P17&gt;0.5,"Highly veriable")</f>
        <v>Stable</v>
      </c>
      <c r="R17" s="1">
        <f t="shared" si="2"/>
        <v>149.81655449248592</v>
      </c>
      <c r="S17" s="1">
        <f t="shared" si="3"/>
        <v>169.38322115915258</v>
      </c>
      <c r="T17" s="1">
        <f t="shared" si="4"/>
        <v>274.61677884084742</v>
      </c>
      <c r="U17" t="str">
        <f t="shared" si="5"/>
        <v xml:space="preserve"> Safe</v>
      </c>
      <c r="V17">
        <f t="shared" si="6"/>
        <v>5244</v>
      </c>
      <c r="W17" s="9">
        <f t="shared" si="7"/>
        <v>2396770.2000000002</v>
      </c>
      <c r="Y17">
        <f t="shared" si="8"/>
        <v>5.3735635681663139E-3</v>
      </c>
      <c r="Z17" s="12">
        <f t="shared" si="18"/>
        <v>9.2619836369505923E-2</v>
      </c>
      <c r="AA17" t="str">
        <f t="shared" si="9"/>
        <v>A</v>
      </c>
      <c r="AB17" t="str">
        <f t="shared" si="10"/>
        <v>X</v>
      </c>
      <c r="AC17" t="str">
        <f t="shared" si="11"/>
        <v>AX</v>
      </c>
      <c r="AD17" t="str">
        <f t="shared" si="12"/>
        <v>Strict Control</v>
      </c>
      <c r="AE17" t="str">
        <f t="shared" si="13"/>
        <v>Daily</v>
      </c>
      <c r="AF17" t="str">
        <f t="shared" si="14"/>
        <v>Strict Replenishment</v>
      </c>
      <c r="AG17" t="str">
        <f t="shared" si="15"/>
        <v>Low</v>
      </c>
      <c r="AH17">
        <f t="shared" si="16"/>
        <v>60</v>
      </c>
      <c r="AI17" t="str">
        <f t="shared" si="17"/>
        <v>High</v>
      </c>
    </row>
    <row r="18" spans="1:35">
      <c r="A18" t="s">
        <v>401</v>
      </c>
      <c r="B18" t="s">
        <v>36</v>
      </c>
      <c r="C18" t="s">
        <v>22</v>
      </c>
      <c r="D18" t="s">
        <v>19</v>
      </c>
      <c r="E18">
        <v>273</v>
      </c>
      <c r="F18">
        <v>443</v>
      </c>
      <c r="G18">
        <v>12</v>
      </c>
      <c r="H18">
        <v>12</v>
      </c>
      <c r="I18">
        <v>449.19</v>
      </c>
      <c r="J18">
        <v>0.18</v>
      </c>
      <c r="K18">
        <v>119</v>
      </c>
      <c r="L18">
        <v>0.92</v>
      </c>
      <c r="M18">
        <v>10</v>
      </c>
      <c r="N18" s="1">
        <f t="shared" si="0"/>
        <v>14.766666666666667</v>
      </c>
      <c r="O18" s="1">
        <f>N18*(1+Control_Panel!$B$2)</f>
        <v>14.766666666666667</v>
      </c>
      <c r="P18" s="12">
        <f t="shared" si="1"/>
        <v>2.7088036117381489E-2</v>
      </c>
      <c r="Q18" t="str" cm="1">
        <f t="array" ref="Q18">_xlfn.IFS(P18&lt;0.2,"Stable",P18&lt;=0.5,"Moderate",P18&gt;0.5,"Highly veriable")</f>
        <v>Stable</v>
      </c>
      <c r="R18" s="1">
        <f t="shared" si="2"/>
        <v>41.569219381653056</v>
      </c>
      <c r="S18" s="1">
        <f t="shared" si="3"/>
        <v>68.335886048319722</v>
      </c>
      <c r="T18" s="1">
        <f t="shared" si="4"/>
        <v>204.66411395168029</v>
      </c>
      <c r="U18" t="str">
        <f t="shared" si="5"/>
        <v xml:space="preserve"> Safe</v>
      </c>
      <c r="V18">
        <f t="shared" si="6"/>
        <v>5316</v>
      </c>
      <c r="W18" s="9">
        <f t="shared" si="7"/>
        <v>2387894.04</v>
      </c>
      <c r="Y18">
        <f t="shared" si="8"/>
        <v>5.3536631997450051E-3</v>
      </c>
      <c r="Z18" s="12">
        <f t="shared" si="18"/>
        <v>9.797349956925093E-2</v>
      </c>
      <c r="AA18" t="str">
        <f t="shared" si="9"/>
        <v>A</v>
      </c>
      <c r="AB18" t="str">
        <f t="shared" si="10"/>
        <v>X</v>
      </c>
      <c r="AC18" t="str">
        <f t="shared" si="11"/>
        <v>AX</v>
      </c>
      <c r="AD18" t="str">
        <f t="shared" si="12"/>
        <v>Strict Control</v>
      </c>
      <c r="AE18" t="str">
        <f t="shared" si="13"/>
        <v>Daily</v>
      </c>
      <c r="AF18" t="str">
        <f t="shared" si="14"/>
        <v>Strict Replenishment</v>
      </c>
      <c r="AG18" t="str">
        <f t="shared" si="15"/>
        <v>Low</v>
      </c>
      <c r="AH18">
        <f t="shared" si="16"/>
        <v>60</v>
      </c>
      <c r="AI18" t="str">
        <f t="shared" si="17"/>
        <v>High</v>
      </c>
    </row>
    <row r="19" spans="1:35">
      <c r="A19" t="s">
        <v>210</v>
      </c>
      <c r="B19" t="s">
        <v>34</v>
      </c>
      <c r="C19" t="s">
        <v>22</v>
      </c>
      <c r="D19" t="s">
        <v>25</v>
      </c>
      <c r="E19">
        <v>743</v>
      </c>
      <c r="F19">
        <v>413</v>
      </c>
      <c r="G19">
        <v>76</v>
      </c>
      <c r="H19">
        <v>13</v>
      </c>
      <c r="I19">
        <v>481.7</v>
      </c>
      <c r="J19">
        <v>0.2</v>
      </c>
      <c r="K19">
        <v>732</v>
      </c>
      <c r="L19">
        <v>0.71</v>
      </c>
      <c r="M19">
        <v>2</v>
      </c>
      <c r="N19" s="1">
        <f t="shared" si="0"/>
        <v>13.766666666666667</v>
      </c>
      <c r="O19" s="1">
        <f>N19*(1+Control_Panel!$B$2)</f>
        <v>13.766666666666667</v>
      </c>
      <c r="P19" s="12">
        <f t="shared" si="1"/>
        <v>0.18401937046004843</v>
      </c>
      <c r="Q19" t="str" cm="1">
        <f t="array" ref="Q19">_xlfn.IFS(P19&lt;0.2,"Stable",P19&lt;=0.5,"Moderate",P19&gt;0.5,"Highly veriable")</f>
        <v>Stable</v>
      </c>
      <c r="R19" s="1">
        <f t="shared" si="2"/>
        <v>274.02189693526316</v>
      </c>
      <c r="S19" s="1">
        <f t="shared" si="3"/>
        <v>300.78856360192981</v>
      </c>
      <c r="T19" s="1">
        <f t="shared" si="4"/>
        <v>442.21143639807019</v>
      </c>
      <c r="U19" t="str">
        <f t="shared" si="5"/>
        <v xml:space="preserve"> Safe</v>
      </c>
      <c r="V19">
        <f t="shared" si="6"/>
        <v>4956</v>
      </c>
      <c r="W19" s="9">
        <f t="shared" si="7"/>
        <v>2387305.1999999997</v>
      </c>
      <c r="Y19">
        <f t="shared" si="8"/>
        <v>5.3523430192907078E-3</v>
      </c>
      <c r="Z19" s="12">
        <f t="shared" si="18"/>
        <v>0.10332584258854163</v>
      </c>
      <c r="AA19" t="str">
        <f t="shared" si="9"/>
        <v>A</v>
      </c>
      <c r="AB19" t="str">
        <f t="shared" si="10"/>
        <v>X</v>
      </c>
      <c r="AC19" t="str">
        <f t="shared" si="11"/>
        <v>AX</v>
      </c>
      <c r="AD19" t="str">
        <f t="shared" si="12"/>
        <v>Strict Control</v>
      </c>
      <c r="AE19" t="str">
        <f t="shared" si="13"/>
        <v>Daily</v>
      </c>
      <c r="AF19" t="str">
        <f t="shared" si="14"/>
        <v>Strict Replenishment</v>
      </c>
      <c r="AG19" t="str">
        <f t="shared" si="15"/>
        <v>Low</v>
      </c>
      <c r="AH19">
        <f t="shared" si="16"/>
        <v>40</v>
      </c>
      <c r="AI19" t="str">
        <f t="shared" si="17"/>
        <v>Low</v>
      </c>
    </row>
    <row r="20" spans="1:35">
      <c r="A20" t="s">
        <v>339</v>
      </c>
      <c r="B20" t="s">
        <v>29</v>
      </c>
      <c r="C20" t="s">
        <v>22</v>
      </c>
      <c r="D20" t="s">
        <v>19</v>
      </c>
      <c r="E20">
        <v>389</v>
      </c>
      <c r="F20">
        <v>443</v>
      </c>
      <c r="G20">
        <v>28</v>
      </c>
      <c r="H20">
        <v>23</v>
      </c>
      <c r="I20">
        <v>445.09</v>
      </c>
      <c r="J20">
        <v>0.15</v>
      </c>
      <c r="K20">
        <v>973</v>
      </c>
      <c r="L20">
        <v>0.82</v>
      </c>
      <c r="M20">
        <v>4</v>
      </c>
      <c r="N20" s="1">
        <f t="shared" si="0"/>
        <v>14.766666666666667</v>
      </c>
      <c r="O20" s="1">
        <f>N20*(1+Control_Panel!$B$2)</f>
        <v>14.766666666666667</v>
      </c>
      <c r="P20" s="12">
        <f t="shared" si="1"/>
        <v>6.320541760722348E-2</v>
      </c>
      <c r="Q20" t="str" cm="1">
        <f t="array" ref="Q20">_xlfn.IFS(P20&lt;0.2,"Stable",P20&lt;=0.5,"Moderate",P20&gt;0.5,"Highly veriable")</f>
        <v>Stable</v>
      </c>
      <c r="R20" s="1">
        <f t="shared" si="2"/>
        <v>134.28328265275613</v>
      </c>
      <c r="S20" s="1">
        <f t="shared" si="3"/>
        <v>172.04994931942281</v>
      </c>
      <c r="T20" s="1">
        <f t="shared" si="4"/>
        <v>216.95005068057719</v>
      </c>
      <c r="U20" t="str">
        <f t="shared" si="5"/>
        <v xml:space="preserve"> Safe</v>
      </c>
      <c r="V20">
        <f t="shared" si="6"/>
        <v>5316</v>
      </c>
      <c r="W20" s="9">
        <f t="shared" si="7"/>
        <v>2366098.44</v>
      </c>
      <c r="Y20">
        <f t="shared" si="8"/>
        <v>5.3047974210790622E-3</v>
      </c>
      <c r="Z20" s="12">
        <f t="shared" si="18"/>
        <v>0.10863064000962069</v>
      </c>
      <c r="AA20" t="str">
        <f t="shared" si="9"/>
        <v>A</v>
      </c>
      <c r="AB20" t="str">
        <f t="shared" si="10"/>
        <v>X</v>
      </c>
      <c r="AC20" t="str">
        <f t="shared" si="11"/>
        <v>AX</v>
      </c>
      <c r="AD20" t="str">
        <f t="shared" si="12"/>
        <v>Strict Control</v>
      </c>
      <c r="AE20" t="str">
        <f t="shared" si="13"/>
        <v>Daily</v>
      </c>
      <c r="AF20" t="str">
        <f t="shared" si="14"/>
        <v>Strict Replenishment</v>
      </c>
      <c r="AG20" t="str">
        <f t="shared" si="15"/>
        <v>Low</v>
      </c>
      <c r="AH20">
        <f t="shared" si="16"/>
        <v>40</v>
      </c>
      <c r="AI20" t="str">
        <f t="shared" si="17"/>
        <v>Low</v>
      </c>
    </row>
    <row r="21" spans="1:35">
      <c r="A21" t="s">
        <v>147</v>
      </c>
      <c r="B21" t="s">
        <v>40</v>
      </c>
      <c r="C21" t="s">
        <v>22</v>
      </c>
      <c r="D21" t="s">
        <v>25</v>
      </c>
      <c r="E21">
        <v>663</v>
      </c>
      <c r="F21">
        <v>475</v>
      </c>
      <c r="G21">
        <v>55</v>
      </c>
      <c r="H21">
        <v>24</v>
      </c>
      <c r="I21">
        <v>410.63</v>
      </c>
      <c r="J21">
        <v>0.1</v>
      </c>
      <c r="K21">
        <v>448</v>
      </c>
      <c r="L21">
        <v>0.85</v>
      </c>
      <c r="M21">
        <v>3</v>
      </c>
      <c r="N21" s="1">
        <f t="shared" si="0"/>
        <v>15.833333333333334</v>
      </c>
      <c r="O21" s="1">
        <f>N21*(1+Control_Panel!$B$2)</f>
        <v>15.833333333333334</v>
      </c>
      <c r="P21" s="12">
        <f t="shared" si="1"/>
        <v>0.11578947368421053</v>
      </c>
      <c r="Q21" t="str" cm="1">
        <f t="array" ref="Q21">_xlfn.IFS(P21&lt;0.2,"Stable",P21&lt;=0.5,"Moderate",P21&gt;0.5,"Highly veriable")</f>
        <v>Stable</v>
      </c>
      <c r="R21" s="1">
        <f t="shared" si="2"/>
        <v>269.44387170614959</v>
      </c>
      <c r="S21" s="1">
        <f t="shared" si="3"/>
        <v>309.27720503948291</v>
      </c>
      <c r="T21" s="1">
        <f t="shared" si="4"/>
        <v>353.72279496051709</v>
      </c>
      <c r="U21" t="str">
        <f t="shared" si="5"/>
        <v xml:space="preserve"> Safe</v>
      </c>
      <c r="V21">
        <f t="shared" si="6"/>
        <v>5700</v>
      </c>
      <c r="W21" s="9">
        <f t="shared" si="7"/>
        <v>2340591</v>
      </c>
      <c r="Y21">
        <f t="shared" si="8"/>
        <v>5.2476096897307719E-3</v>
      </c>
      <c r="Z21" s="12">
        <f t="shared" si="18"/>
        <v>0.11387824969935147</v>
      </c>
      <c r="AA21" t="str">
        <f t="shared" si="9"/>
        <v>A</v>
      </c>
      <c r="AB21" t="str">
        <f t="shared" si="10"/>
        <v>X</v>
      </c>
      <c r="AC21" t="str">
        <f t="shared" si="11"/>
        <v>AX</v>
      </c>
      <c r="AD21" t="str">
        <f t="shared" si="12"/>
        <v>Strict Control</v>
      </c>
      <c r="AE21" t="str">
        <f t="shared" si="13"/>
        <v>Daily</v>
      </c>
      <c r="AF21" t="str">
        <f t="shared" si="14"/>
        <v>Strict Replenishment</v>
      </c>
      <c r="AG21" t="str">
        <f t="shared" si="15"/>
        <v>Low</v>
      </c>
      <c r="AH21">
        <f t="shared" si="16"/>
        <v>40</v>
      </c>
      <c r="AI21" t="str">
        <f t="shared" si="17"/>
        <v>Low</v>
      </c>
    </row>
    <row r="22" spans="1:35">
      <c r="A22" t="s">
        <v>448</v>
      </c>
      <c r="B22" t="s">
        <v>40</v>
      </c>
      <c r="C22" t="s">
        <v>15</v>
      </c>
      <c r="D22" t="s">
        <v>19</v>
      </c>
      <c r="E22">
        <v>137</v>
      </c>
      <c r="F22">
        <v>463</v>
      </c>
      <c r="G22">
        <v>71</v>
      </c>
      <c r="H22">
        <v>7</v>
      </c>
      <c r="I22">
        <v>414.53</v>
      </c>
      <c r="J22">
        <v>0.21</v>
      </c>
      <c r="K22">
        <v>164</v>
      </c>
      <c r="L22">
        <v>0.72</v>
      </c>
      <c r="M22">
        <v>4</v>
      </c>
      <c r="N22" s="1">
        <f t="shared" si="0"/>
        <v>15.433333333333334</v>
      </c>
      <c r="O22" s="1">
        <f>N22*(1+Control_Panel!$B$2)</f>
        <v>15.433333333333334</v>
      </c>
      <c r="P22" s="12">
        <f t="shared" si="1"/>
        <v>0.15334773218142547</v>
      </c>
      <c r="Q22" t="str" cm="1">
        <f t="array" ref="Q22">_xlfn.IFS(P22&lt;0.2,"Stable",P22&lt;=0.5,"Moderate",P22&gt;0.5,"Highly veriable")</f>
        <v>Stable</v>
      </c>
      <c r="R22" s="1">
        <f t="shared" si="2"/>
        <v>187.84834308558595</v>
      </c>
      <c r="S22" s="1">
        <f t="shared" si="3"/>
        <v>210.28167641891929</v>
      </c>
      <c r="T22" s="1">
        <f t="shared" si="4"/>
        <v>-73.28167641891929</v>
      </c>
      <c r="U22" t="str">
        <f t="shared" si="5"/>
        <v xml:space="preserve"> Need to Order</v>
      </c>
      <c r="V22">
        <f t="shared" si="6"/>
        <v>5556</v>
      </c>
      <c r="W22" s="9">
        <f t="shared" si="7"/>
        <v>2303128.6799999997</v>
      </c>
      <c r="Y22">
        <f t="shared" si="8"/>
        <v>5.1636190935814251E-3</v>
      </c>
      <c r="Z22" s="12">
        <f t="shared" si="18"/>
        <v>0.1190418687929329</v>
      </c>
      <c r="AA22" t="str">
        <f t="shared" si="9"/>
        <v>A</v>
      </c>
      <c r="AB22" t="str">
        <f t="shared" si="10"/>
        <v>X</v>
      </c>
      <c r="AC22" t="str">
        <f t="shared" si="11"/>
        <v>AX</v>
      </c>
      <c r="AD22" t="str">
        <f t="shared" si="12"/>
        <v>Strict Control</v>
      </c>
      <c r="AE22" t="str">
        <f t="shared" si="13"/>
        <v>Daily</v>
      </c>
      <c r="AF22" t="str">
        <f t="shared" si="14"/>
        <v>Strict Replenishment</v>
      </c>
      <c r="AG22" t="str">
        <f t="shared" si="15"/>
        <v>Low</v>
      </c>
      <c r="AH22">
        <f t="shared" si="16"/>
        <v>40</v>
      </c>
      <c r="AI22" t="str">
        <f t="shared" si="17"/>
        <v>Low</v>
      </c>
    </row>
    <row r="23" spans="1:35">
      <c r="A23" t="s">
        <v>498</v>
      </c>
      <c r="B23" t="s">
        <v>38</v>
      </c>
      <c r="C23" t="s">
        <v>22</v>
      </c>
      <c r="D23" t="s">
        <v>23</v>
      </c>
      <c r="E23">
        <v>118</v>
      </c>
      <c r="F23">
        <v>500</v>
      </c>
      <c r="G23">
        <v>58</v>
      </c>
      <c r="H23">
        <v>23</v>
      </c>
      <c r="I23">
        <v>379.73</v>
      </c>
      <c r="J23">
        <v>0.12</v>
      </c>
      <c r="K23">
        <v>282</v>
      </c>
      <c r="L23">
        <v>0.92</v>
      </c>
      <c r="M23">
        <v>6</v>
      </c>
      <c r="N23" s="1">
        <f t="shared" si="0"/>
        <v>16.666666666666668</v>
      </c>
      <c r="O23" s="1">
        <f>N23*(1+Control_Panel!$B$2)</f>
        <v>16.666666666666668</v>
      </c>
      <c r="P23" s="12">
        <f t="shared" si="1"/>
        <v>0.11600000000000001</v>
      </c>
      <c r="Q23" t="str" cm="1">
        <f t="array" ref="Q23">_xlfn.IFS(P23&lt;0.2,"Stable",P23&lt;=0.5,"Moderate",P23&gt;0.5,"Highly veriable")</f>
        <v>Stable</v>
      </c>
      <c r="R23" s="1">
        <f t="shared" si="2"/>
        <v>278.15822835213771</v>
      </c>
      <c r="S23" s="1">
        <f t="shared" si="3"/>
        <v>317.8248950188044</v>
      </c>
      <c r="T23" s="1">
        <f t="shared" si="4"/>
        <v>-199.8248950188044</v>
      </c>
      <c r="U23" t="str">
        <f t="shared" si="5"/>
        <v xml:space="preserve"> Need to Order</v>
      </c>
      <c r="V23">
        <f t="shared" si="6"/>
        <v>6000</v>
      </c>
      <c r="W23" s="9">
        <f t="shared" si="7"/>
        <v>2278380</v>
      </c>
      <c r="Y23">
        <f t="shared" si="8"/>
        <v>5.1081325036662949E-3</v>
      </c>
      <c r="Z23" s="12">
        <f t="shared" si="18"/>
        <v>0.12415000129659919</v>
      </c>
      <c r="AA23" t="str">
        <f t="shared" si="9"/>
        <v>A</v>
      </c>
      <c r="AB23" t="str">
        <f t="shared" si="10"/>
        <v>X</v>
      </c>
      <c r="AC23" t="str">
        <f t="shared" si="11"/>
        <v>AX</v>
      </c>
      <c r="AD23" t="str">
        <f t="shared" si="12"/>
        <v>Strict Control</v>
      </c>
      <c r="AE23" t="str">
        <f t="shared" si="13"/>
        <v>Daily</v>
      </c>
      <c r="AF23" t="str">
        <f t="shared" si="14"/>
        <v>Strict Replenishment</v>
      </c>
      <c r="AG23" t="str">
        <f t="shared" si="15"/>
        <v>Low</v>
      </c>
      <c r="AH23">
        <f t="shared" si="16"/>
        <v>50</v>
      </c>
      <c r="AI23" t="str">
        <f t="shared" si="17"/>
        <v>Medium</v>
      </c>
    </row>
    <row r="24" spans="1:35">
      <c r="A24" t="s">
        <v>244</v>
      </c>
      <c r="B24" t="s">
        <v>29</v>
      </c>
      <c r="C24" t="s">
        <v>22</v>
      </c>
      <c r="D24" t="s">
        <v>16</v>
      </c>
      <c r="E24">
        <v>78</v>
      </c>
      <c r="F24">
        <v>427</v>
      </c>
      <c r="G24">
        <v>12</v>
      </c>
      <c r="H24">
        <v>29</v>
      </c>
      <c r="I24">
        <v>443.39</v>
      </c>
      <c r="J24">
        <v>0.23</v>
      </c>
      <c r="K24">
        <v>272</v>
      </c>
      <c r="L24">
        <v>0.97</v>
      </c>
      <c r="M24">
        <v>5</v>
      </c>
      <c r="N24" s="1">
        <f t="shared" si="0"/>
        <v>14.233333333333333</v>
      </c>
      <c r="O24" s="1">
        <f>N24*(1+Control_Panel!$B$2)</f>
        <v>14.233333333333333</v>
      </c>
      <c r="P24" s="12">
        <f t="shared" si="1"/>
        <v>2.8103044496487119E-2</v>
      </c>
      <c r="Q24" t="str" cm="1">
        <f t="array" ref="Q24">_xlfn.IFS(P24&lt;0.2,"Stable",P24&lt;=0.5,"Moderate",P24&gt;0.5,"Highly veriable")</f>
        <v>Stable</v>
      </c>
      <c r="R24" s="1">
        <f t="shared" si="2"/>
        <v>64.621977685614041</v>
      </c>
      <c r="S24" s="1">
        <f t="shared" si="3"/>
        <v>107.85531101894738</v>
      </c>
      <c r="T24" s="1">
        <f t="shared" si="4"/>
        <v>-29.855311018947376</v>
      </c>
      <c r="U24" t="str">
        <f t="shared" si="5"/>
        <v xml:space="preserve"> Need to Order</v>
      </c>
      <c r="V24">
        <f t="shared" si="6"/>
        <v>5124</v>
      </c>
      <c r="W24" s="9">
        <f t="shared" si="7"/>
        <v>2271930.36</v>
      </c>
      <c r="Y24">
        <f t="shared" si="8"/>
        <v>5.0936723979240804E-3</v>
      </c>
      <c r="Z24" s="12">
        <f t="shared" si="18"/>
        <v>0.12924367369452328</v>
      </c>
      <c r="AA24" t="str">
        <f t="shared" si="9"/>
        <v>A</v>
      </c>
      <c r="AB24" t="str">
        <f t="shared" si="10"/>
        <v>X</v>
      </c>
      <c r="AC24" t="str">
        <f t="shared" si="11"/>
        <v>AX</v>
      </c>
      <c r="AD24" t="str">
        <f t="shared" si="12"/>
        <v>Strict Control</v>
      </c>
      <c r="AE24" t="str">
        <f t="shared" si="13"/>
        <v>Daily</v>
      </c>
      <c r="AF24" t="str">
        <f t="shared" si="14"/>
        <v>Strict Replenishment</v>
      </c>
      <c r="AG24" t="str">
        <f t="shared" si="15"/>
        <v>Low</v>
      </c>
      <c r="AH24">
        <f t="shared" si="16"/>
        <v>50</v>
      </c>
      <c r="AI24" t="str">
        <f t="shared" si="17"/>
        <v>Medium</v>
      </c>
    </row>
    <row r="25" spans="1:35">
      <c r="A25" t="s">
        <v>303</v>
      </c>
      <c r="B25" t="s">
        <v>18</v>
      </c>
      <c r="C25" t="s">
        <v>22</v>
      </c>
      <c r="D25" t="s">
        <v>16</v>
      </c>
      <c r="E25">
        <v>874</v>
      </c>
      <c r="F25">
        <v>392</v>
      </c>
      <c r="G25">
        <v>33</v>
      </c>
      <c r="H25">
        <v>19</v>
      </c>
      <c r="I25">
        <v>480.96</v>
      </c>
      <c r="J25">
        <v>0.09</v>
      </c>
      <c r="K25">
        <v>342</v>
      </c>
      <c r="L25">
        <v>0.84</v>
      </c>
      <c r="M25">
        <v>8</v>
      </c>
      <c r="N25" s="1">
        <f t="shared" si="0"/>
        <v>13.066666666666666</v>
      </c>
      <c r="O25" s="1">
        <f>N25*(1+Control_Panel!$B$2)</f>
        <v>13.066666666666666</v>
      </c>
      <c r="P25" s="12">
        <f t="shared" si="1"/>
        <v>8.4183673469387751E-2</v>
      </c>
      <c r="Q25" t="str" cm="1">
        <f t="array" ref="Q25">_xlfn.IFS(P25&lt;0.2,"Stable",P25&lt;=0.5,"Moderate",P25&gt;0.5,"Highly veriable")</f>
        <v>Stable</v>
      </c>
      <c r="R25" s="1">
        <f t="shared" si="2"/>
        <v>143.84366513684225</v>
      </c>
      <c r="S25" s="1">
        <f t="shared" si="3"/>
        <v>175.91033180350891</v>
      </c>
      <c r="T25" s="1">
        <f t="shared" si="4"/>
        <v>698.08966819649106</v>
      </c>
      <c r="U25" t="str">
        <f t="shared" si="5"/>
        <v xml:space="preserve"> Safe</v>
      </c>
      <c r="V25">
        <f t="shared" si="6"/>
        <v>4704</v>
      </c>
      <c r="W25" s="9">
        <f t="shared" si="7"/>
        <v>2262435.8399999999</v>
      </c>
      <c r="Y25">
        <f t="shared" si="8"/>
        <v>5.0723856651496042E-3</v>
      </c>
      <c r="Z25" s="12">
        <f t="shared" si="18"/>
        <v>0.13431605935967289</v>
      </c>
      <c r="AA25" t="str">
        <f t="shared" si="9"/>
        <v>A</v>
      </c>
      <c r="AB25" t="str">
        <f t="shared" si="10"/>
        <v>X</v>
      </c>
      <c r="AC25" t="str">
        <f t="shared" si="11"/>
        <v>AX</v>
      </c>
      <c r="AD25" t="str">
        <f t="shared" si="12"/>
        <v>Strict Control</v>
      </c>
      <c r="AE25" t="str">
        <f t="shared" si="13"/>
        <v>Daily</v>
      </c>
      <c r="AF25" t="str">
        <f t="shared" si="14"/>
        <v>Strict Replenishment</v>
      </c>
      <c r="AG25" t="str">
        <f t="shared" si="15"/>
        <v>Low</v>
      </c>
      <c r="AH25">
        <f t="shared" si="16"/>
        <v>60</v>
      </c>
      <c r="AI25" t="str">
        <f t="shared" si="17"/>
        <v>High</v>
      </c>
    </row>
    <row r="26" spans="1:35">
      <c r="A26" t="s">
        <v>96</v>
      </c>
      <c r="B26" t="s">
        <v>29</v>
      </c>
      <c r="C26" t="s">
        <v>22</v>
      </c>
      <c r="D26" t="s">
        <v>19</v>
      </c>
      <c r="E26">
        <v>676</v>
      </c>
      <c r="F26">
        <v>412</v>
      </c>
      <c r="G26">
        <v>66</v>
      </c>
      <c r="H26">
        <v>24</v>
      </c>
      <c r="I26">
        <v>455.33</v>
      </c>
      <c r="J26">
        <v>0.14000000000000001</v>
      </c>
      <c r="K26">
        <v>931</v>
      </c>
      <c r="L26">
        <v>0.82</v>
      </c>
      <c r="M26">
        <v>2</v>
      </c>
      <c r="N26" s="1">
        <f t="shared" si="0"/>
        <v>13.733333333333333</v>
      </c>
      <c r="O26" s="1">
        <f>N26*(1+Control_Panel!$B$2)</f>
        <v>13.733333333333333</v>
      </c>
      <c r="P26" s="12">
        <f t="shared" si="1"/>
        <v>0.16019417475728157</v>
      </c>
      <c r="Q26" t="str" cm="1">
        <f t="array" ref="Q26">_xlfn.IFS(P26&lt;0.2,"Stable",P26&lt;=0.5,"Moderate",P26&gt;0.5,"Highly veriable")</f>
        <v>Stable</v>
      </c>
      <c r="R26" s="1">
        <f t="shared" si="2"/>
        <v>323.33264604737946</v>
      </c>
      <c r="S26" s="1">
        <f t="shared" si="3"/>
        <v>361.0659793807128</v>
      </c>
      <c r="T26" s="1">
        <f t="shared" si="4"/>
        <v>314.9340206192872</v>
      </c>
      <c r="U26" t="str">
        <f t="shared" si="5"/>
        <v xml:space="preserve"> Risk</v>
      </c>
      <c r="V26">
        <f t="shared" si="6"/>
        <v>4944</v>
      </c>
      <c r="W26" s="9">
        <f t="shared" si="7"/>
        <v>2251151.52</v>
      </c>
      <c r="Y26">
        <f t="shared" si="8"/>
        <v>5.0470861972058152E-3</v>
      </c>
      <c r="Z26" s="12">
        <f t="shared" si="18"/>
        <v>0.1393631455568787</v>
      </c>
      <c r="AA26" t="str">
        <f t="shared" si="9"/>
        <v>A</v>
      </c>
      <c r="AB26" t="str">
        <f t="shared" si="10"/>
        <v>X</v>
      </c>
      <c r="AC26" t="str">
        <f t="shared" si="11"/>
        <v>AX</v>
      </c>
      <c r="AD26" t="str">
        <f t="shared" si="12"/>
        <v>Strict Control</v>
      </c>
      <c r="AE26" t="str">
        <f t="shared" si="13"/>
        <v>Daily</v>
      </c>
      <c r="AF26" t="str">
        <f t="shared" si="14"/>
        <v>Strict Replenishment</v>
      </c>
      <c r="AG26" t="str">
        <f t="shared" si="15"/>
        <v>Low</v>
      </c>
      <c r="AH26">
        <f t="shared" si="16"/>
        <v>40</v>
      </c>
      <c r="AI26" t="str">
        <f t="shared" si="17"/>
        <v>Low</v>
      </c>
    </row>
    <row r="27" spans="1:35">
      <c r="A27" t="s">
        <v>84</v>
      </c>
      <c r="B27" t="s">
        <v>14</v>
      </c>
      <c r="C27" t="s">
        <v>22</v>
      </c>
      <c r="D27" t="s">
        <v>25</v>
      </c>
      <c r="E27">
        <v>707</v>
      </c>
      <c r="F27">
        <v>465</v>
      </c>
      <c r="G27">
        <v>40</v>
      </c>
      <c r="H27">
        <v>20</v>
      </c>
      <c r="I27">
        <v>401.21</v>
      </c>
      <c r="J27">
        <v>7.0000000000000007E-2</v>
      </c>
      <c r="K27">
        <v>775</v>
      </c>
      <c r="L27">
        <v>0.97</v>
      </c>
      <c r="M27">
        <v>10</v>
      </c>
      <c r="N27" s="1">
        <f t="shared" si="0"/>
        <v>15.5</v>
      </c>
      <c r="O27" s="1">
        <f>N27*(1+Control_Panel!$B$2)</f>
        <v>15.5</v>
      </c>
      <c r="P27" s="12">
        <f t="shared" si="1"/>
        <v>8.6021505376344093E-2</v>
      </c>
      <c r="Q27" t="str" cm="1">
        <f t="array" ref="Q27">_xlfn.IFS(P27&lt;0.2,"Stable",P27&lt;=0.5,"Moderate",P27&gt;0.5,"Highly veriable")</f>
        <v>Stable</v>
      </c>
      <c r="R27" s="1">
        <f t="shared" si="2"/>
        <v>178.88543819998318</v>
      </c>
      <c r="S27" s="1">
        <f t="shared" si="3"/>
        <v>214.38543819998318</v>
      </c>
      <c r="T27" s="1">
        <f t="shared" si="4"/>
        <v>492.61456180001682</v>
      </c>
      <c r="U27" t="str">
        <f t="shared" si="5"/>
        <v xml:space="preserve"> Safe</v>
      </c>
      <c r="V27">
        <f t="shared" si="6"/>
        <v>5580</v>
      </c>
      <c r="W27" s="9">
        <f t="shared" si="7"/>
        <v>2238751.7999999998</v>
      </c>
      <c r="Y27">
        <f t="shared" si="8"/>
        <v>5.019286000237635E-3</v>
      </c>
      <c r="Z27" s="12">
        <f t="shared" si="18"/>
        <v>0.14438243155711633</v>
      </c>
      <c r="AA27" t="str">
        <f t="shared" si="9"/>
        <v>A</v>
      </c>
      <c r="AB27" t="str">
        <f t="shared" si="10"/>
        <v>X</v>
      </c>
      <c r="AC27" t="str">
        <f t="shared" si="11"/>
        <v>AX</v>
      </c>
      <c r="AD27" t="str">
        <f t="shared" si="12"/>
        <v>Strict Control</v>
      </c>
      <c r="AE27" t="str">
        <f t="shared" si="13"/>
        <v>Daily</v>
      </c>
      <c r="AF27" t="str">
        <f t="shared" si="14"/>
        <v>Strict Replenishment</v>
      </c>
      <c r="AG27" t="str">
        <f t="shared" si="15"/>
        <v>Low</v>
      </c>
      <c r="AH27">
        <f t="shared" si="16"/>
        <v>60</v>
      </c>
      <c r="AI27" t="str">
        <f t="shared" si="17"/>
        <v>High</v>
      </c>
    </row>
    <row r="28" spans="1:35">
      <c r="A28" t="s">
        <v>330</v>
      </c>
      <c r="B28" t="s">
        <v>18</v>
      </c>
      <c r="C28" t="s">
        <v>15</v>
      </c>
      <c r="D28" t="s">
        <v>41</v>
      </c>
      <c r="E28">
        <v>463</v>
      </c>
      <c r="F28">
        <v>413</v>
      </c>
      <c r="G28">
        <v>79</v>
      </c>
      <c r="H28">
        <v>9</v>
      </c>
      <c r="I28">
        <v>444.62</v>
      </c>
      <c r="J28">
        <v>7.0000000000000007E-2</v>
      </c>
      <c r="K28">
        <v>254</v>
      </c>
      <c r="L28">
        <v>0.79</v>
      </c>
      <c r="M28">
        <v>9</v>
      </c>
      <c r="N28" s="1">
        <f t="shared" si="0"/>
        <v>13.766666666666667</v>
      </c>
      <c r="O28" s="1">
        <f>N28*(1+Control_Panel!$B$2)</f>
        <v>13.766666666666667</v>
      </c>
      <c r="P28" s="12">
        <f t="shared" si="1"/>
        <v>0.19128329297820823</v>
      </c>
      <c r="Q28" t="str" cm="1">
        <f t="array" ref="Q28">_xlfn.IFS(P28&lt;0.2,"Stable",P28&lt;=0.5,"Moderate",P28&gt;0.5,"Highly veriable")</f>
        <v>Stable</v>
      </c>
      <c r="R28" s="1">
        <f t="shared" si="2"/>
        <v>237</v>
      </c>
      <c r="S28" s="1">
        <f t="shared" si="3"/>
        <v>259.76666666666665</v>
      </c>
      <c r="T28" s="1">
        <f t="shared" si="4"/>
        <v>203.23333333333335</v>
      </c>
      <c r="U28" t="str">
        <f t="shared" si="5"/>
        <v xml:space="preserve"> Risk</v>
      </c>
      <c r="V28">
        <f t="shared" si="6"/>
        <v>4956</v>
      </c>
      <c r="W28" s="9">
        <f t="shared" si="7"/>
        <v>2203536.7200000002</v>
      </c>
      <c r="Y28">
        <f t="shared" si="8"/>
        <v>4.9403337206498548E-3</v>
      </c>
      <c r="Z28" s="12">
        <f t="shared" si="18"/>
        <v>0.1493227652777662</v>
      </c>
      <c r="AA28" t="str">
        <f t="shared" si="9"/>
        <v>A</v>
      </c>
      <c r="AB28" t="str">
        <f t="shared" si="10"/>
        <v>X</v>
      </c>
      <c r="AC28" t="str">
        <f t="shared" si="11"/>
        <v>AX</v>
      </c>
      <c r="AD28" t="str">
        <f t="shared" si="12"/>
        <v>Strict Control</v>
      </c>
      <c r="AE28" t="str">
        <f t="shared" si="13"/>
        <v>Daily</v>
      </c>
      <c r="AF28" t="str">
        <f t="shared" si="14"/>
        <v>Strict Replenishment</v>
      </c>
      <c r="AG28" t="str">
        <f t="shared" si="15"/>
        <v>Low</v>
      </c>
      <c r="AH28">
        <f t="shared" si="16"/>
        <v>60</v>
      </c>
      <c r="AI28" t="str">
        <f t="shared" si="17"/>
        <v>High</v>
      </c>
    </row>
    <row r="29" spans="1:35">
      <c r="A29" t="s">
        <v>125</v>
      </c>
      <c r="B29" t="s">
        <v>14</v>
      </c>
      <c r="C29" t="s">
        <v>22</v>
      </c>
      <c r="D29" t="s">
        <v>16</v>
      </c>
      <c r="E29">
        <v>678</v>
      </c>
      <c r="F29">
        <v>381</v>
      </c>
      <c r="G29">
        <v>34</v>
      </c>
      <c r="H29">
        <v>21</v>
      </c>
      <c r="I29">
        <v>476.57</v>
      </c>
      <c r="J29">
        <v>0.25</v>
      </c>
      <c r="K29">
        <v>505</v>
      </c>
      <c r="L29">
        <v>0.91</v>
      </c>
      <c r="M29">
        <v>6</v>
      </c>
      <c r="N29" s="1">
        <f t="shared" si="0"/>
        <v>12.7</v>
      </c>
      <c r="O29" s="1">
        <f>N29*(1+Control_Panel!$B$2)</f>
        <v>12.7</v>
      </c>
      <c r="P29" s="12">
        <f t="shared" si="1"/>
        <v>8.9238845144356954E-2</v>
      </c>
      <c r="Q29" t="str" cm="1">
        <f t="array" ref="Q29">_xlfn.IFS(P29&lt;0.2,"Stable",P29&lt;=0.5,"Moderate",P29&gt;0.5,"Highly veriable")</f>
        <v>Stable</v>
      </c>
      <c r="R29" s="1">
        <f t="shared" si="2"/>
        <v>155.80757362849855</v>
      </c>
      <c r="S29" s="1">
        <f t="shared" si="3"/>
        <v>189.50757362849856</v>
      </c>
      <c r="T29" s="1">
        <f t="shared" si="4"/>
        <v>488.49242637150144</v>
      </c>
      <c r="U29" t="str">
        <f t="shared" si="5"/>
        <v xml:space="preserve"> Safe</v>
      </c>
      <c r="V29">
        <f t="shared" si="6"/>
        <v>4572</v>
      </c>
      <c r="W29" s="9">
        <f t="shared" si="7"/>
        <v>2178878.04</v>
      </c>
      <c r="Y29">
        <f t="shared" si="8"/>
        <v>4.8850489109142064E-3</v>
      </c>
      <c r="Z29" s="12">
        <f t="shared" si="18"/>
        <v>0.1542078141886804</v>
      </c>
      <c r="AA29" t="str">
        <f t="shared" si="9"/>
        <v>A</v>
      </c>
      <c r="AB29" t="str">
        <f t="shared" si="10"/>
        <v>X</v>
      </c>
      <c r="AC29" t="str">
        <f t="shared" si="11"/>
        <v>AX</v>
      </c>
      <c r="AD29" t="str">
        <f t="shared" si="12"/>
        <v>Strict Control</v>
      </c>
      <c r="AE29" t="str">
        <f t="shared" si="13"/>
        <v>Daily</v>
      </c>
      <c r="AF29" t="str">
        <f t="shared" si="14"/>
        <v>Strict Replenishment</v>
      </c>
      <c r="AG29" t="str">
        <f t="shared" si="15"/>
        <v>Low</v>
      </c>
      <c r="AH29">
        <f t="shared" si="16"/>
        <v>50</v>
      </c>
      <c r="AI29" t="str">
        <f t="shared" si="17"/>
        <v>Medium</v>
      </c>
    </row>
    <row r="30" spans="1:35">
      <c r="A30" t="s">
        <v>499</v>
      </c>
      <c r="B30" t="s">
        <v>29</v>
      </c>
      <c r="C30" t="s">
        <v>15</v>
      </c>
      <c r="D30" t="s">
        <v>19</v>
      </c>
      <c r="E30">
        <v>128</v>
      </c>
      <c r="F30">
        <v>470</v>
      </c>
      <c r="G30">
        <v>6</v>
      </c>
      <c r="H30">
        <v>15</v>
      </c>
      <c r="I30">
        <v>382.36</v>
      </c>
      <c r="J30">
        <v>0.19</v>
      </c>
      <c r="K30">
        <v>309</v>
      </c>
      <c r="L30">
        <v>0.7</v>
      </c>
      <c r="M30">
        <v>3</v>
      </c>
      <c r="N30" s="1">
        <f t="shared" si="0"/>
        <v>15.666666666666666</v>
      </c>
      <c r="O30" s="1">
        <f>N30*(1+Control_Panel!$B$2)</f>
        <v>15.666666666666666</v>
      </c>
      <c r="P30" s="12">
        <f t="shared" si="1"/>
        <v>1.276595744680851E-2</v>
      </c>
      <c r="Q30" t="str" cm="1">
        <f t="array" ref="Q30">_xlfn.IFS(P30&lt;0.2,"Stable",P30&lt;=0.5,"Moderate",P30&gt;0.5,"Highly veriable")</f>
        <v>Stable</v>
      </c>
      <c r="R30" s="1">
        <f t="shared" si="2"/>
        <v>23.237900077244504</v>
      </c>
      <c r="S30" s="1">
        <f t="shared" si="3"/>
        <v>53.904566743911168</v>
      </c>
      <c r="T30" s="1">
        <f t="shared" si="4"/>
        <v>74.095433256088825</v>
      </c>
      <c r="U30" t="str">
        <f t="shared" si="5"/>
        <v xml:space="preserve"> Safe</v>
      </c>
      <c r="V30">
        <f t="shared" si="6"/>
        <v>5640</v>
      </c>
      <c r="W30" s="9">
        <f t="shared" si="7"/>
        <v>2156510.4</v>
      </c>
      <c r="Y30">
        <f t="shared" si="8"/>
        <v>4.8349006174274716E-3</v>
      </c>
      <c r="Z30" s="12">
        <f t="shared" si="18"/>
        <v>0.15904271480610788</v>
      </c>
      <c r="AA30" t="str">
        <f t="shared" si="9"/>
        <v>A</v>
      </c>
      <c r="AB30" t="str">
        <f t="shared" si="10"/>
        <v>X</v>
      </c>
      <c r="AC30" t="str">
        <f t="shared" si="11"/>
        <v>AX</v>
      </c>
      <c r="AD30" t="str">
        <f t="shared" si="12"/>
        <v>Strict Control</v>
      </c>
      <c r="AE30" t="str">
        <f t="shared" si="13"/>
        <v>Daily</v>
      </c>
      <c r="AF30" t="str">
        <f t="shared" si="14"/>
        <v>Strict Replenishment</v>
      </c>
      <c r="AG30" t="str">
        <f t="shared" si="15"/>
        <v>Low</v>
      </c>
      <c r="AH30">
        <f t="shared" si="16"/>
        <v>40</v>
      </c>
      <c r="AI30" t="str">
        <f t="shared" si="17"/>
        <v>Low</v>
      </c>
    </row>
    <row r="31" spans="1:35">
      <c r="A31" t="s">
        <v>477</v>
      </c>
      <c r="B31" t="s">
        <v>21</v>
      </c>
      <c r="C31" t="s">
        <v>22</v>
      </c>
      <c r="D31" t="s">
        <v>16</v>
      </c>
      <c r="E31">
        <v>561</v>
      </c>
      <c r="F31">
        <v>409</v>
      </c>
      <c r="G31">
        <v>53</v>
      </c>
      <c r="H31">
        <v>27</v>
      </c>
      <c r="I31">
        <v>435.47</v>
      </c>
      <c r="J31">
        <v>0.18</v>
      </c>
      <c r="K31">
        <v>211</v>
      </c>
      <c r="L31">
        <v>0.91</v>
      </c>
      <c r="M31">
        <v>1</v>
      </c>
      <c r="N31" s="1">
        <f t="shared" si="0"/>
        <v>13.633333333333333</v>
      </c>
      <c r="O31" s="1">
        <f>N31*(1+Control_Panel!$B$2)</f>
        <v>13.633333333333333</v>
      </c>
      <c r="P31" s="12">
        <f t="shared" si="1"/>
        <v>0.1295843520782396</v>
      </c>
      <c r="Q31" t="str" cm="1">
        <f t="array" ref="Q31">_xlfn.IFS(P31&lt;0.2,"Stable",P31&lt;=0.5,"Moderate",P31&gt;0.5,"Highly veriable")</f>
        <v>Stable</v>
      </c>
      <c r="R31" s="1">
        <f t="shared" si="2"/>
        <v>275.3960784034515</v>
      </c>
      <c r="S31" s="1">
        <f t="shared" si="3"/>
        <v>316.02941173678482</v>
      </c>
      <c r="T31" s="1">
        <f t="shared" si="4"/>
        <v>244.97058826321518</v>
      </c>
      <c r="U31" t="str">
        <f t="shared" si="5"/>
        <v xml:space="preserve"> Risk</v>
      </c>
      <c r="V31">
        <f t="shared" si="6"/>
        <v>4908</v>
      </c>
      <c r="W31" s="9">
        <f t="shared" si="7"/>
        <v>2137286.7600000002</v>
      </c>
      <c r="Y31">
        <f t="shared" si="8"/>
        <v>4.7918011782106694E-3</v>
      </c>
      <c r="Z31" s="12">
        <f t="shared" si="18"/>
        <v>0.16383451598431856</v>
      </c>
      <c r="AA31" t="str">
        <f t="shared" si="9"/>
        <v>A</v>
      </c>
      <c r="AB31" t="str">
        <f t="shared" si="10"/>
        <v>X</v>
      </c>
      <c r="AC31" t="str">
        <f t="shared" si="11"/>
        <v>AX</v>
      </c>
      <c r="AD31" t="str">
        <f t="shared" si="12"/>
        <v>Strict Control</v>
      </c>
      <c r="AE31" t="str">
        <f t="shared" si="13"/>
        <v>Daily</v>
      </c>
      <c r="AF31" t="str">
        <f t="shared" si="14"/>
        <v>Strict Replenishment</v>
      </c>
      <c r="AG31" t="str">
        <f t="shared" si="15"/>
        <v>Low</v>
      </c>
      <c r="AH31">
        <f t="shared" si="16"/>
        <v>40</v>
      </c>
      <c r="AI31" t="str">
        <f t="shared" si="17"/>
        <v>Low</v>
      </c>
    </row>
    <row r="32" spans="1:35">
      <c r="A32" t="s">
        <v>181</v>
      </c>
      <c r="B32" t="s">
        <v>29</v>
      </c>
      <c r="C32" t="s">
        <v>15</v>
      </c>
      <c r="D32" t="s">
        <v>16</v>
      </c>
      <c r="E32">
        <v>72</v>
      </c>
      <c r="F32">
        <v>419</v>
      </c>
      <c r="G32">
        <v>64</v>
      </c>
      <c r="H32">
        <v>21</v>
      </c>
      <c r="I32">
        <v>420.85</v>
      </c>
      <c r="J32">
        <v>0.14000000000000001</v>
      </c>
      <c r="K32">
        <v>951</v>
      </c>
      <c r="L32">
        <v>0.82</v>
      </c>
      <c r="M32">
        <v>5</v>
      </c>
      <c r="N32" s="1">
        <f t="shared" si="0"/>
        <v>13.966666666666667</v>
      </c>
      <c r="O32" s="1">
        <f>N32*(1+Control_Panel!$B$2)</f>
        <v>13.966666666666667</v>
      </c>
      <c r="P32" s="12">
        <f t="shared" si="1"/>
        <v>0.15274463007159905</v>
      </c>
      <c r="Q32" t="str" cm="1">
        <f t="array" ref="Q32">_xlfn.IFS(P32&lt;0.2,"Stable",P32&lt;=0.5,"Moderate",P32&gt;0.5,"Highly veriable")</f>
        <v>Stable</v>
      </c>
      <c r="R32" s="1">
        <f t="shared" si="2"/>
        <v>293.28484447717375</v>
      </c>
      <c r="S32" s="1">
        <f t="shared" si="3"/>
        <v>328.25151114384039</v>
      </c>
      <c r="T32" s="1">
        <f t="shared" si="4"/>
        <v>-256.25151114384039</v>
      </c>
      <c r="U32" t="str">
        <f t="shared" si="5"/>
        <v xml:space="preserve"> Need to Order</v>
      </c>
      <c r="V32">
        <f t="shared" si="6"/>
        <v>5028</v>
      </c>
      <c r="W32" s="9">
        <f t="shared" si="7"/>
        <v>2116033.8000000003</v>
      </c>
      <c r="Y32">
        <f t="shared" si="8"/>
        <v>4.744151999506889E-3</v>
      </c>
      <c r="Z32" s="12">
        <f t="shared" si="18"/>
        <v>0.16857866798382545</v>
      </c>
      <c r="AA32" t="str">
        <f t="shared" si="9"/>
        <v>A</v>
      </c>
      <c r="AB32" t="str">
        <f t="shared" si="10"/>
        <v>X</v>
      </c>
      <c r="AC32" t="str">
        <f t="shared" si="11"/>
        <v>AX</v>
      </c>
      <c r="AD32" t="str">
        <f t="shared" si="12"/>
        <v>Strict Control</v>
      </c>
      <c r="AE32" t="str">
        <f t="shared" si="13"/>
        <v>Daily</v>
      </c>
      <c r="AF32" t="str">
        <f t="shared" si="14"/>
        <v>Strict Replenishment</v>
      </c>
      <c r="AG32" t="str">
        <f t="shared" si="15"/>
        <v>Low</v>
      </c>
      <c r="AH32">
        <f t="shared" si="16"/>
        <v>50</v>
      </c>
      <c r="AI32" t="str">
        <f t="shared" si="17"/>
        <v>Medium</v>
      </c>
    </row>
    <row r="33" spans="1:35">
      <c r="A33" t="s">
        <v>363</v>
      </c>
      <c r="B33" t="s">
        <v>38</v>
      </c>
      <c r="C33" t="s">
        <v>15</v>
      </c>
      <c r="D33" t="s">
        <v>41</v>
      </c>
      <c r="E33">
        <v>743</v>
      </c>
      <c r="F33">
        <v>398</v>
      </c>
      <c r="G33">
        <v>35</v>
      </c>
      <c r="H33">
        <v>24</v>
      </c>
      <c r="I33">
        <v>442.05</v>
      </c>
      <c r="J33">
        <v>0.16</v>
      </c>
      <c r="K33">
        <v>887</v>
      </c>
      <c r="L33">
        <v>0.73</v>
      </c>
      <c r="M33">
        <v>6</v>
      </c>
      <c r="N33" s="1">
        <f t="shared" si="0"/>
        <v>13.266666666666667</v>
      </c>
      <c r="O33" s="1">
        <f>N33*(1+Control_Panel!$B$2)</f>
        <v>13.266666666666667</v>
      </c>
      <c r="P33" s="12">
        <f t="shared" si="1"/>
        <v>8.7939698492462318E-2</v>
      </c>
      <c r="Q33" t="str" cm="1">
        <f t="array" ref="Q33">_xlfn.IFS(P33&lt;0.2,"Stable",P33&lt;=0.5,"Moderate",P33&gt;0.5,"Highly veriable")</f>
        <v>Stable</v>
      </c>
      <c r="R33" s="1">
        <f t="shared" si="2"/>
        <v>171.46428199482244</v>
      </c>
      <c r="S33" s="1">
        <f t="shared" si="3"/>
        <v>208.73094866148909</v>
      </c>
      <c r="T33" s="1">
        <f t="shared" si="4"/>
        <v>534.26905133851096</v>
      </c>
      <c r="U33" t="str">
        <f t="shared" si="5"/>
        <v xml:space="preserve"> Safe</v>
      </c>
      <c r="V33">
        <f t="shared" si="6"/>
        <v>4776</v>
      </c>
      <c r="W33" s="9">
        <f t="shared" si="7"/>
        <v>2111230.8000000003</v>
      </c>
      <c r="Y33">
        <f t="shared" si="8"/>
        <v>4.733383663928491E-3</v>
      </c>
      <c r="Z33" s="12">
        <f t="shared" si="18"/>
        <v>0.17331205164775396</v>
      </c>
      <c r="AA33" t="str">
        <f t="shared" si="9"/>
        <v>A</v>
      </c>
      <c r="AB33" t="str">
        <f t="shared" si="10"/>
        <v>X</v>
      </c>
      <c r="AC33" t="str">
        <f t="shared" si="11"/>
        <v>AX</v>
      </c>
      <c r="AD33" t="str">
        <f t="shared" si="12"/>
        <v>Strict Control</v>
      </c>
      <c r="AE33" t="str">
        <f t="shared" si="13"/>
        <v>Daily</v>
      </c>
      <c r="AF33" t="str">
        <f t="shared" si="14"/>
        <v>Strict Replenishment</v>
      </c>
      <c r="AG33" t="str">
        <f t="shared" si="15"/>
        <v>Low</v>
      </c>
      <c r="AH33">
        <f t="shared" si="16"/>
        <v>50</v>
      </c>
      <c r="AI33" t="str">
        <f t="shared" si="17"/>
        <v>Medium</v>
      </c>
    </row>
    <row r="34" spans="1:35">
      <c r="A34" t="s">
        <v>522</v>
      </c>
      <c r="B34" t="s">
        <v>29</v>
      </c>
      <c r="C34" t="s">
        <v>22</v>
      </c>
      <c r="D34" t="s">
        <v>25</v>
      </c>
      <c r="E34">
        <v>739</v>
      </c>
      <c r="F34">
        <v>391</v>
      </c>
      <c r="G34">
        <v>56</v>
      </c>
      <c r="H34">
        <v>9</v>
      </c>
      <c r="I34">
        <v>443.6</v>
      </c>
      <c r="J34">
        <v>0.09</v>
      </c>
      <c r="K34">
        <v>183</v>
      </c>
      <c r="L34">
        <v>0.98</v>
      </c>
      <c r="M34">
        <v>9</v>
      </c>
      <c r="N34" s="1">
        <f t="shared" si="0"/>
        <v>13.033333333333333</v>
      </c>
      <c r="O34" s="1">
        <f>N34*(1+Control_Panel!$B$2)</f>
        <v>13.033333333333333</v>
      </c>
      <c r="P34" s="12">
        <f t="shared" si="1"/>
        <v>0.14322250639386189</v>
      </c>
      <c r="Q34" t="str" cm="1">
        <f t="array" ref="Q34">_xlfn.IFS(P34&lt;0.2,"Stable",P34&lt;=0.5,"Moderate",P34&gt;0.5,"Highly veriable")</f>
        <v>Stable</v>
      </c>
      <c r="R34" s="1">
        <f t="shared" si="2"/>
        <v>168</v>
      </c>
      <c r="S34" s="1">
        <f t="shared" si="3"/>
        <v>190.03333333333333</v>
      </c>
      <c r="T34" s="1">
        <f t="shared" si="4"/>
        <v>548.9666666666667</v>
      </c>
      <c r="U34" t="str">
        <f t="shared" si="5"/>
        <v xml:space="preserve"> Safe</v>
      </c>
      <c r="V34">
        <f t="shared" si="6"/>
        <v>4692</v>
      </c>
      <c r="W34" s="9">
        <f t="shared" si="7"/>
        <v>2081371.2000000002</v>
      </c>
      <c r="Y34">
        <f t="shared" si="8"/>
        <v>4.6664383811808926E-3</v>
      </c>
      <c r="Z34" s="12">
        <f t="shared" si="18"/>
        <v>0.17797849002893484</v>
      </c>
      <c r="AA34" t="str">
        <f t="shared" si="9"/>
        <v>A</v>
      </c>
      <c r="AB34" t="str">
        <f t="shared" si="10"/>
        <v>X</v>
      </c>
      <c r="AC34" t="str">
        <f t="shared" si="11"/>
        <v>AX</v>
      </c>
      <c r="AD34" t="str">
        <f t="shared" si="12"/>
        <v>Strict Control</v>
      </c>
      <c r="AE34" t="str">
        <f t="shared" si="13"/>
        <v>Daily</v>
      </c>
      <c r="AF34" t="str">
        <f t="shared" si="14"/>
        <v>Strict Replenishment</v>
      </c>
      <c r="AG34" t="str">
        <f t="shared" si="15"/>
        <v>Low</v>
      </c>
      <c r="AH34">
        <f t="shared" si="16"/>
        <v>60</v>
      </c>
      <c r="AI34" t="str">
        <f t="shared" si="17"/>
        <v>High</v>
      </c>
    </row>
    <row r="35" spans="1:35">
      <c r="A35" t="s">
        <v>101</v>
      </c>
      <c r="B35" t="s">
        <v>36</v>
      </c>
      <c r="C35" t="s">
        <v>22</v>
      </c>
      <c r="D35" t="s">
        <v>23</v>
      </c>
      <c r="E35">
        <v>679</v>
      </c>
      <c r="F35">
        <v>397</v>
      </c>
      <c r="G35">
        <v>54</v>
      </c>
      <c r="H35">
        <v>25</v>
      </c>
      <c r="I35">
        <v>435.11</v>
      </c>
      <c r="J35">
        <v>0.06</v>
      </c>
      <c r="K35">
        <v>270</v>
      </c>
      <c r="L35">
        <v>0.82</v>
      </c>
      <c r="M35">
        <v>9</v>
      </c>
      <c r="N35" s="1">
        <f t="shared" si="0"/>
        <v>13.233333333333333</v>
      </c>
      <c r="O35" s="1">
        <f>N35*(1+Control_Panel!$B$2)</f>
        <v>13.233333333333333</v>
      </c>
      <c r="P35" s="12">
        <f t="shared" si="1"/>
        <v>0.13602015113350127</v>
      </c>
      <c r="Q35" t="str" cm="1">
        <f t="array" ref="Q35">_xlfn.IFS(P35&lt;0.2,"Stable",P35&lt;=0.5,"Moderate",P35&gt;0.5,"Highly veriable")</f>
        <v>Stable</v>
      </c>
      <c r="R35" s="1">
        <f t="shared" si="2"/>
        <v>270</v>
      </c>
      <c r="S35" s="1">
        <f t="shared" si="3"/>
        <v>308.23333333333335</v>
      </c>
      <c r="T35" s="1">
        <f t="shared" si="4"/>
        <v>370.76666666666665</v>
      </c>
      <c r="U35" t="str">
        <f t="shared" si="5"/>
        <v xml:space="preserve"> Safe</v>
      </c>
      <c r="V35">
        <f t="shared" si="6"/>
        <v>4764</v>
      </c>
      <c r="W35" s="9">
        <f t="shared" si="7"/>
        <v>2072864.04</v>
      </c>
      <c r="Y35">
        <f t="shared" si="8"/>
        <v>4.6473653114954619E-3</v>
      </c>
      <c r="Z35" s="12">
        <f t="shared" si="18"/>
        <v>0.1826258553404303</v>
      </c>
      <c r="AA35" t="str">
        <f t="shared" si="9"/>
        <v>A</v>
      </c>
      <c r="AB35" t="str">
        <f t="shared" si="10"/>
        <v>X</v>
      </c>
      <c r="AC35" t="str">
        <f t="shared" si="11"/>
        <v>AX</v>
      </c>
      <c r="AD35" t="str">
        <f t="shared" si="12"/>
        <v>Strict Control</v>
      </c>
      <c r="AE35" t="str">
        <f t="shared" si="13"/>
        <v>Daily</v>
      </c>
      <c r="AF35" t="str">
        <f t="shared" si="14"/>
        <v>Strict Replenishment</v>
      </c>
      <c r="AG35" t="str">
        <f t="shared" si="15"/>
        <v>Low</v>
      </c>
      <c r="AH35">
        <f t="shared" si="16"/>
        <v>60</v>
      </c>
      <c r="AI35" t="str">
        <f t="shared" si="17"/>
        <v>High</v>
      </c>
    </row>
    <row r="36" spans="1:35">
      <c r="A36" t="s">
        <v>359</v>
      </c>
      <c r="B36" t="s">
        <v>40</v>
      </c>
      <c r="C36" t="s">
        <v>22</v>
      </c>
      <c r="D36" t="s">
        <v>41</v>
      </c>
      <c r="E36">
        <v>886</v>
      </c>
      <c r="F36">
        <v>346</v>
      </c>
      <c r="G36">
        <v>25</v>
      </c>
      <c r="H36">
        <v>9</v>
      </c>
      <c r="I36">
        <v>498.96</v>
      </c>
      <c r="J36">
        <v>0.12</v>
      </c>
      <c r="K36">
        <v>443</v>
      </c>
      <c r="L36">
        <v>0.72</v>
      </c>
      <c r="M36">
        <v>1</v>
      </c>
      <c r="N36" s="1">
        <f t="shared" si="0"/>
        <v>11.533333333333333</v>
      </c>
      <c r="O36" s="1">
        <f>N36*(1+Control_Panel!$B$2)</f>
        <v>11.533333333333333</v>
      </c>
      <c r="P36" s="12">
        <f t="shared" si="1"/>
        <v>7.2254335260115612E-2</v>
      </c>
      <c r="Q36" t="str" cm="1">
        <f t="array" ref="Q36">_xlfn.IFS(P36&lt;0.2,"Stable",P36&lt;=0.5,"Moderate",P36&gt;0.5,"Highly veriable")</f>
        <v>Stable</v>
      </c>
      <c r="R36" s="1">
        <f t="shared" si="2"/>
        <v>75</v>
      </c>
      <c r="S36" s="1">
        <f t="shared" si="3"/>
        <v>95.533333333333331</v>
      </c>
      <c r="T36" s="1">
        <f t="shared" si="4"/>
        <v>790.4666666666667</v>
      </c>
      <c r="U36" t="str">
        <f t="shared" si="5"/>
        <v xml:space="preserve"> Safe</v>
      </c>
      <c r="V36">
        <f t="shared" si="6"/>
        <v>4152</v>
      </c>
      <c r="W36" s="9">
        <f t="shared" si="7"/>
        <v>2071681.92</v>
      </c>
      <c r="Y36">
        <f t="shared" si="8"/>
        <v>4.6447149960980151E-3</v>
      </c>
      <c r="Z36" s="12">
        <f t="shared" si="18"/>
        <v>0.1872705703365283</v>
      </c>
      <c r="AA36" t="str">
        <f t="shared" si="9"/>
        <v>A</v>
      </c>
      <c r="AB36" t="str">
        <f t="shared" si="10"/>
        <v>X</v>
      </c>
      <c r="AC36" t="str">
        <f t="shared" si="11"/>
        <v>AX</v>
      </c>
      <c r="AD36" t="str">
        <f t="shared" si="12"/>
        <v>Strict Control</v>
      </c>
      <c r="AE36" t="str">
        <f t="shared" si="13"/>
        <v>Daily</v>
      </c>
      <c r="AF36" t="str">
        <f t="shared" si="14"/>
        <v>Strict Replenishment</v>
      </c>
      <c r="AG36" t="str">
        <f t="shared" si="15"/>
        <v>Low</v>
      </c>
      <c r="AH36">
        <f t="shared" si="16"/>
        <v>40</v>
      </c>
      <c r="AI36" t="str">
        <f t="shared" si="17"/>
        <v>Low</v>
      </c>
    </row>
    <row r="37" spans="1:35">
      <c r="A37" t="s">
        <v>123</v>
      </c>
      <c r="B37" t="s">
        <v>36</v>
      </c>
      <c r="C37" t="s">
        <v>22</v>
      </c>
      <c r="D37" t="s">
        <v>23</v>
      </c>
      <c r="E37">
        <v>967</v>
      </c>
      <c r="F37">
        <v>427</v>
      </c>
      <c r="G37">
        <v>31</v>
      </c>
      <c r="H37">
        <v>30</v>
      </c>
      <c r="I37">
        <v>404.03</v>
      </c>
      <c r="J37">
        <v>0.23</v>
      </c>
      <c r="K37">
        <v>401</v>
      </c>
      <c r="L37">
        <v>0.94</v>
      </c>
      <c r="M37">
        <v>9</v>
      </c>
      <c r="N37" s="1">
        <f t="shared" si="0"/>
        <v>14.233333333333333</v>
      </c>
      <c r="O37" s="1">
        <f>N37*(1+Control_Panel!$B$2)</f>
        <v>14.233333333333333</v>
      </c>
      <c r="P37" s="12">
        <f t="shared" si="1"/>
        <v>7.2599531615925056E-2</v>
      </c>
      <c r="Q37" t="str" cm="1">
        <f t="array" ref="Q37">_xlfn.IFS(P37&lt;0.2,"Stable",P37&lt;=0.5,"Moderate",P37&gt;0.5,"Highly veriable")</f>
        <v>Stable</v>
      </c>
      <c r="R37" s="1">
        <f t="shared" si="2"/>
        <v>169.79399282660151</v>
      </c>
      <c r="S37" s="1">
        <f t="shared" si="3"/>
        <v>214.02732615993483</v>
      </c>
      <c r="T37" s="1">
        <f t="shared" si="4"/>
        <v>752.97267384006523</v>
      </c>
      <c r="U37" t="str">
        <f t="shared" si="5"/>
        <v xml:space="preserve"> Safe</v>
      </c>
      <c r="V37">
        <f t="shared" si="6"/>
        <v>5124</v>
      </c>
      <c r="W37" s="9">
        <f t="shared" si="7"/>
        <v>2070249.72</v>
      </c>
      <c r="Y37">
        <f t="shared" si="8"/>
        <v>4.641504000841846E-3</v>
      </c>
      <c r="Z37" s="12">
        <f t="shared" si="18"/>
        <v>0.19191207433737015</v>
      </c>
      <c r="AA37" t="str">
        <f t="shared" si="9"/>
        <v>A</v>
      </c>
      <c r="AB37" t="str">
        <f t="shared" si="10"/>
        <v>X</v>
      </c>
      <c r="AC37" t="str">
        <f t="shared" si="11"/>
        <v>AX</v>
      </c>
      <c r="AD37" t="str">
        <f t="shared" si="12"/>
        <v>Strict Control</v>
      </c>
      <c r="AE37" t="str">
        <f t="shared" si="13"/>
        <v>Daily</v>
      </c>
      <c r="AF37" t="str">
        <f t="shared" si="14"/>
        <v>Strict Replenishment</v>
      </c>
      <c r="AG37" t="str">
        <f t="shared" si="15"/>
        <v>Low</v>
      </c>
      <c r="AH37">
        <f t="shared" si="16"/>
        <v>60</v>
      </c>
      <c r="AI37" t="str">
        <f t="shared" si="17"/>
        <v>High</v>
      </c>
    </row>
    <row r="38" spans="1:35">
      <c r="A38" t="s">
        <v>331</v>
      </c>
      <c r="B38" t="s">
        <v>29</v>
      </c>
      <c r="C38" t="s">
        <v>15</v>
      </c>
      <c r="D38" t="s">
        <v>16</v>
      </c>
      <c r="E38">
        <v>783</v>
      </c>
      <c r="F38">
        <v>400</v>
      </c>
      <c r="G38">
        <v>14</v>
      </c>
      <c r="H38">
        <v>7</v>
      </c>
      <c r="I38">
        <v>424.69</v>
      </c>
      <c r="J38">
        <v>0.19</v>
      </c>
      <c r="K38">
        <v>248</v>
      </c>
      <c r="L38">
        <v>0.93</v>
      </c>
      <c r="M38">
        <v>6</v>
      </c>
      <c r="N38" s="1">
        <f t="shared" si="0"/>
        <v>13.333333333333334</v>
      </c>
      <c r="O38" s="1">
        <f>N38*(1+Control_Panel!$B$2)</f>
        <v>13.333333333333334</v>
      </c>
      <c r="P38" s="12">
        <f t="shared" si="1"/>
        <v>3.5000000000000003E-2</v>
      </c>
      <c r="Q38" t="str" cm="1">
        <f t="array" ref="Q38">_xlfn.IFS(P38&lt;0.2,"Stable",P38&lt;=0.5,"Moderate",P38&gt;0.5,"Highly veriable")</f>
        <v>Stable</v>
      </c>
      <c r="R38" s="1">
        <f t="shared" si="2"/>
        <v>37.040518354904272</v>
      </c>
      <c r="S38" s="1">
        <f t="shared" si="3"/>
        <v>57.373851688237608</v>
      </c>
      <c r="T38" s="1">
        <f t="shared" si="4"/>
        <v>725.62614831176234</v>
      </c>
      <c r="U38" t="str">
        <f t="shared" si="5"/>
        <v xml:space="preserve"> Safe</v>
      </c>
      <c r="V38">
        <f t="shared" si="6"/>
        <v>4800</v>
      </c>
      <c r="W38" s="9">
        <f t="shared" si="7"/>
        <v>2038512</v>
      </c>
      <c r="Y38">
        <f t="shared" si="8"/>
        <v>4.5703479693088014E-3</v>
      </c>
      <c r="Z38" s="12">
        <f t="shared" si="18"/>
        <v>0.19648242230667895</v>
      </c>
      <c r="AA38" t="str">
        <f t="shared" si="9"/>
        <v>A</v>
      </c>
      <c r="AB38" t="str">
        <f t="shared" si="10"/>
        <v>X</v>
      </c>
      <c r="AC38" t="str">
        <f t="shared" si="11"/>
        <v>AX</v>
      </c>
      <c r="AD38" t="str">
        <f t="shared" si="12"/>
        <v>Strict Control</v>
      </c>
      <c r="AE38" t="str">
        <f t="shared" si="13"/>
        <v>Daily</v>
      </c>
      <c r="AF38" t="str">
        <f t="shared" si="14"/>
        <v>Strict Replenishment</v>
      </c>
      <c r="AG38" t="str">
        <f t="shared" si="15"/>
        <v>Low</v>
      </c>
      <c r="AH38">
        <f t="shared" si="16"/>
        <v>50</v>
      </c>
      <c r="AI38" t="str">
        <f t="shared" si="17"/>
        <v>Medium</v>
      </c>
    </row>
    <row r="39" spans="1:35">
      <c r="A39" t="s">
        <v>316</v>
      </c>
      <c r="B39" t="s">
        <v>36</v>
      </c>
      <c r="C39" t="s">
        <v>22</v>
      </c>
      <c r="D39" t="s">
        <v>23</v>
      </c>
      <c r="E39">
        <v>859</v>
      </c>
      <c r="F39">
        <v>420</v>
      </c>
      <c r="G39">
        <v>57</v>
      </c>
      <c r="H39">
        <v>4</v>
      </c>
      <c r="I39">
        <v>402.19</v>
      </c>
      <c r="J39">
        <v>0.21</v>
      </c>
      <c r="K39">
        <v>370</v>
      </c>
      <c r="L39">
        <v>0.95</v>
      </c>
      <c r="M39">
        <v>3</v>
      </c>
      <c r="N39" s="1">
        <f t="shared" si="0"/>
        <v>14</v>
      </c>
      <c r="O39" s="1">
        <f>N39*(1+Control_Panel!$B$2)</f>
        <v>14</v>
      </c>
      <c r="P39" s="12">
        <f t="shared" si="1"/>
        <v>0.1357142857142857</v>
      </c>
      <c r="Q39" t="str" cm="1">
        <f t="array" ref="Q39">_xlfn.IFS(P39&lt;0.2,"Stable",P39&lt;=0.5,"Moderate",P39&gt;0.5,"Highly veriable")</f>
        <v>Stable</v>
      </c>
      <c r="R39" s="1">
        <f t="shared" si="2"/>
        <v>114</v>
      </c>
      <c r="S39" s="1">
        <f t="shared" si="3"/>
        <v>132</v>
      </c>
      <c r="T39" s="1">
        <f t="shared" si="4"/>
        <v>727</v>
      </c>
      <c r="U39" t="str">
        <f t="shared" si="5"/>
        <v xml:space="preserve"> Safe</v>
      </c>
      <c r="V39">
        <f t="shared" si="6"/>
        <v>5040</v>
      </c>
      <c r="W39" s="9">
        <f t="shared" si="7"/>
        <v>2027037.6</v>
      </c>
      <c r="Y39">
        <f t="shared" si="8"/>
        <v>4.5446223416259436E-3</v>
      </c>
      <c r="Z39" s="12">
        <f t="shared" si="18"/>
        <v>0.2010270446483049</v>
      </c>
      <c r="AA39" t="str">
        <f t="shared" si="9"/>
        <v>A</v>
      </c>
      <c r="AB39" t="str">
        <f t="shared" si="10"/>
        <v>X</v>
      </c>
      <c r="AC39" t="str">
        <f t="shared" si="11"/>
        <v>AX</v>
      </c>
      <c r="AD39" t="str">
        <f t="shared" si="12"/>
        <v>Strict Control</v>
      </c>
      <c r="AE39" t="str">
        <f t="shared" si="13"/>
        <v>Daily</v>
      </c>
      <c r="AF39" t="str">
        <f t="shared" si="14"/>
        <v>Strict Replenishment</v>
      </c>
      <c r="AG39" t="str">
        <f t="shared" si="15"/>
        <v>Low</v>
      </c>
      <c r="AH39">
        <f t="shared" si="16"/>
        <v>40</v>
      </c>
      <c r="AI39" t="str">
        <f t="shared" si="17"/>
        <v>Low</v>
      </c>
    </row>
    <row r="40" spans="1:35">
      <c r="A40" t="s">
        <v>86</v>
      </c>
      <c r="B40" t="s">
        <v>21</v>
      </c>
      <c r="C40" t="s">
        <v>15</v>
      </c>
      <c r="D40" t="s">
        <v>19</v>
      </c>
      <c r="E40">
        <v>96</v>
      </c>
      <c r="F40">
        <v>338</v>
      </c>
      <c r="G40">
        <v>68</v>
      </c>
      <c r="H40">
        <v>8</v>
      </c>
      <c r="I40">
        <v>499.5</v>
      </c>
      <c r="J40">
        <v>0.11</v>
      </c>
      <c r="K40">
        <v>596</v>
      </c>
      <c r="L40">
        <v>0.92</v>
      </c>
      <c r="M40">
        <v>2</v>
      </c>
      <c r="N40" s="1">
        <f t="shared" si="0"/>
        <v>11.266666666666667</v>
      </c>
      <c r="O40" s="1">
        <f>N40*(1+Control_Panel!$B$2)</f>
        <v>11.266666666666667</v>
      </c>
      <c r="P40" s="12">
        <f t="shared" si="1"/>
        <v>0.20118343195266272</v>
      </c>
      <c r="Q40" t="str" cm="1">
        <f t="array" ref="Q40">_xlfn.IFS(P40&lt;0.2,"Stable",P40&lt;=0.5,"Moderate",P40&gt;0.5,"Highly veriable")</f>
        <v>Moderate</v>
      </c>
      <c r="R40" s="1">
        <f t="shared" si="2"/>
        <v>192.33304448274095</v>
      </c>
      <c r="S40" s="1">
        <f t="shared" si="3"/>
        <v>211.5997111494076</v>
      </c>
      <c r="T40" s="1">
        <f t="shared" si="4"/>
        <v>-115.5997111494076</v>
      </c>
      <c r="U40" t="str">
        <f t="shared" si="5"/>
        <v xml:space="preserve"> Need to Order</v>
      </c>
      <c r="V40">
        <f t="shared" si="6"/>
        <v>4056</v>
      </c>
      <c r="W40" s="9">
        <f t="shared" si="7"/>
        <v>2025972</v>
      </c>
      <c r="Y40">
        <f t="shared" si="8"/>
        <v>4.5422332643008673E-3</v>
      </c>
      <c r="Z40" s="12">
        <f t="shared" si="18"/>
        <v>0.20556927791260576</v>
      </c>
      <c r="AA40" t="str">
        <f t="shared" si="9"/>
        <v>A</v>
      </c>
      <c r="AB40" t="str">
        <f t="shared" si="10"/>
        <v>Y</v>
      </c>
      <c r="AC40" t="str">
        <f t="shared" si="11"/>
        <v>AY</v>
      </c>
      <c r="AD40" t="str">
        <f t="shared" si="12"/>
        <v>Frequent Monitoring</v>
      </c>
      <c r="AE40" t="str">
        <f t="shared" si="13"/>
        <v>Every 2 Days</v>
      </c>
      <c r="AF40" t="str">
        <f t="shared" si="14"/>
        <v>Frequent Monitoring</v>
      </c>
      <c r="AG40" t="str">
        <f t="shared" si="15"/>
        <v>High</v>
      </c>
      <c r="AH40">
        <f t="shared" si="16"/>
        <v>50</v>
      </c>
      <c r="AI40" t="str">
        <f t="shared" si="17"/>
        <v>Medium</v>
      </c>
    </row>
    <row r="41" spans="1:35">
      <c r="A41" t="s">
        <v>426</v>
      </c>
      <c r="B41" t="s">
        <v>21</v>
      </c>
      <c r="C41" t="s">
        <v>15</v>
      </c>
      <c r="D41" t="s">
        <v>19</v>
      </c>
      <c r="E41">
        <v>435</v>
      </c>
      <c r="F41">
        <v>408</v>
      </c>
      <c r="G41">
        <v>39</v>
      </c>
      <c r="H41">
        <v>13</v>
      </c>
      <c r="I41">
        <v>410.24</v>
      </c>
      <c r="J41">
        <v>0.24</v>
      </c>
      <c r="K41">
        <v>617</v>
      </c>
      <c r="L41">
        <v>0.99</v>
      </c>
      <c r="M41">
        <v>10</v>
      </c>
      <c r="N41" s="1">
        <f t="shared" si="0"/>
        <v>13.6</v>
      </c>
      <c r="O41" s="1">
        <f>N41*(1+Control_Panel!$B$2)</f>
        <v>13.6</v>
      </c>
      <c r="P41" s="12">
        <f t="shared" si="1"/>
        <v>9.5588235294117641E-2</v>
      </c>
      <c r="Q41" t="str" cm="1">
        <f t="array" ref="Q41">_xlfn.IFS(P41&lt;0.2,"Stable",P41&lt;=0.5,"Moderate",P41&gt;0.5,"Highly veriable")</f>
        <v>Stable</v>
      </c>
      <c r="R41" s="1">
        <f t="shared" si="2"/>
        <v>140.61649974309557</v>
      </c>
      <c r="S41" s="1">
        <f t="shared" si="3"/>
        <v>167.21649974309557</v>
      </c>
      <c r="T41" s="1">
        <f t="shared" si="4"/>
        <v>267.7835002569044</v>
      </c>
      <c r="U41" t="str">
        <f t="shared" si="5"/>
        <v xml:space="preserve"> Safe</v>
      </c>
      <c r="V41">
        <f t="shared" si="6"/>
        <v>4896</v>
      </c>
      <c r="W41" s="9">
        <f t="shared" si="7"/>
        <v>2008535.04</v>
      </c>
      <c r="Y41">
        <f t="shared" si="8"/>
        <v>4.5031395652071569E-3</v>
      </c>
      <c r="Z41" s="12">
        <f t="shared" si="18"/>
        <v>0.21007241747781291</v>
      </c>
      <c r="AA41" t="str">
        <f t="shared" si="9"/>
        <v>A</v>
      </c>
      <c r="AB41" t="str">
        <f t="shared" si="10"/>
        <v>X</v>
      </c>
      <c r="AC41" t="str">
        <f t="shared" si="11"/>
        <v>AX</v>
      </c>
      <c r="AD41" t="str">
        <f t="shared" si="12"/>
        <v>Strict Control</v>
      </c>
      <c r="AE41" t="str">
        <f t="shared" si="13"/>
        <v>Daily</v>
      </c>
      <c r="AF41" t="str">
        <f t="shared" si="14"/>
        <v>Strict Replenishment</v>
      </c>
      <c r="AG41" t="str">
        <f t="shared" si="15"/>
        <v>Low</v>
      </c>
      <c r="AH41">
        <f t="shared" si="16"/>
        <v>60</v>
      </c>
      <c r="AI41" t="str">
        <f t="shared" si="17"/>
        <v>High</v>
      </c>
    </row>
    <row r="42" spans="1:35">
      <c r="A42" t="s">
        <v>234</v>
      </c>
      <c r="B42" t="s">
        <v>18</v>
      </c>
      <c r="C42" t="s">
        <v>22</v>
      </c>
      <c r="D42" t="s">
        <v>23</v>
      </c>
      <c r="E42">
        <v>263</v>
      </c>
      <c r="F42">
        <v>353</v>
      </c>
      <c r="G42">
        <v>29</v>
      </c>
      <c r="H42">
        <v>22</v>
      </c>
      <c r="I42">
        <v>474.05</v>
      </c>
      <c r="J42">
        <v>0.11</v>
      </c>
      <c r="K42">
        <v>727</v>
      </c>
      <c r="L42">
        <v>0.71</v>
      </c>
      <c r="M42">
        <v>10</v>
      </c>
      <c r="N42" s="1">
        <f t="shared" si="0"/>
        <v>11.766666666666667</v>
      </c>
      <c r="O42" s="1">
        <f>N42*(1+Control_Panel!$B$2)</f>
        <v>11.766666666666667</v>
      </c>
      <c r="P42" s="12">
        <f t="shared" si="1"/>
        <v>8.2152974504249299E-2</v>
      </c>
      <c r="Q42" t="str" cm="1">
        <f t="array" ref="Q42">_xlfn.IFS(P42&lt;0.2,"Stable",P42&lt;=0.5,"Moderate",P42&gt;0.5,"Highly veriable")</f>
        <v>Stable</v>
      </c>
      <c r="R42" s="1">
        <f t="shared" si="2"/>
        <v>136.02205703487945</v>
      </c>
      <c r="S42" s="1">
        <f t="shared" si="3"/>
        <v>169.78872370154613</v>
      </c>
      <c r="T42" s="1">
        <f t="shared" si="4"/>
        <v>93.211276298453868</v>
      </c>
      <c r="U42" t="str">
        <f t="shared" si="5"/>
        <v xml:space="preserve"> Risk</v>
      </c>
      <c r="V42">
        <f t="shared" si="6"/>
        <v>4236</v>
      </c>
      <c r="W42" s="9">
        <f t="shared" si="7"/>
        <v>2008075.8</v>
      </c>
      <c r="Y42">
        <f t="shared" si="8"/>
        <v>4.5021099482113157E-3</v>
      </c>
      <c r="Z42" s="12">
        <f t="shared" si="18"/>
        <v>0.21457452742602423</v>
      </c>
      <c r="AA42" t="str">
        <f t="shared" si="9"/>
        <v>A</v>
      </c>
      <c r="AB42" t="str">
        <f t="shared" si="10"/>
        <v>X</v>
      </c>
      <c r="AC42" t="str">
        <f t="shared" si="11"/>
        <v>AX</v>
      </c>
      <c r="AD42" t="str">
        <f t="shared" si="12"/>
        <v>Strict Control</v>
      </c>
      <c r="AE42" t="str">
        <f t="shared" si="13"/>
        <v>Daily</v>
      </c>
      <c r="AF42" t="str">
        <f t="shared" si="14"/>
        <v>Strict Replenishment</v>
      </c>
      <c r="AG42" t="str">
        <f t="shared" si="15"/>
        <v>Low</v>
      </c>
      <c r="AH42">
        <f t="shared" si="16"/>
        <v>60</v>
      </c>
      <c r="AI42" t="str">
        <f t="shared" si="17"/>
        <v>High</v>
      </c>
    </row>
    <row r="43" spans="1:35">
      <c r="A43" t="s">
        <v>253</v>
      </c>
      <c r="B43" t="s">
        <v>14</v>
      </c>
      <c r="C43" t="s">
        <v>15</v>
      </c>
      <c r="D43" t="s">
        <v>23</v>
      </c>
      <c r="E43">
        <v>202</v>
      </c>
      <c r="F43">
        <v>369</v>
      </c>
      <c r="G43">
        <v>76</v>
      </c>
      <c r="H43">
        <v>6</v>
      </c>
      <c r="I43">
        <v>452.98</v>
      </c>
      <c r="J43">
        <v>0.15</v>
      </c>
      <c r="K43">
        <v>312</v>
      </c>
      <c r="L43">
        <v>0.75</v>
      </c>
      <c r="M43">
        <v>6</v>
      </c>
      <c r="N43" s="1">
        <f t="shared" si="0"/>
        <v>12.3</v>
      </c>
      <c r="O43" s="1">
        <f>N43*(1+Control_Panel!$B$2)</f>
        <v>12.3</v>
      </c>
      <c r="P43" s="12">
        <f t="shared" si="1"/>
        <v>0.20596205962059622</v>
      </c>
      <c r="Q43" t="str" cm="1">
        <f t="array" ref="Q43">_xlfn.IFS(P43&lt;0.2,"Stable",P43&lt;=0.5,"Moderate",P43&gt;0.5,"Highly veriable")</f>
        <v>Moderate</v>
      </c>
      <c r="R43" s="1">
        <f t="shared" si="2"/>
        <v>186.16122045152153</v>
      </c>
      <c r="S43" s="1">
        <f t="shared" si="3"/>
        <v>204.46122045152154</v>
      </c>
      <c r="T43" s="1">
        <f t="shared" si="4"/>
        <v>-2.461220451521541</v>
      </c>
      <c r="U43" t="str">
        <f t="shared" si="5"/>
        <v xml:space="preserve"> Need to Order</v>
      </c>
      <c r="V43">
        <f t="shared" si="6"/>
        <v>4428</v>
      </c>
      <c r="W43" s="9">
        <f t="shared" si="7"/>
        <v>2005795.4400000002</v>
      </c>
      <c r="Y43">
        <f t="shared" si="8"/>
        <v>4.4969973765437016E-3</v>
      </c>
      <c r="Z43" s="12">
        <f t="shared" si="18"/>
        <v>0.21907152480256792</v>
      </c>
      <c r="AA43" t="str">
        <f t="shared" si="9"/>
        <v>A</v>
      </c>
      <c r="AB43" t="str">
        <f t="shared" si="10"/>
        <v>Y</v>
      </c>
      <c r="AC43" t="str">
        <f t="shared" si="11"/>
        <v>AY</v>
      </c>
      <c r="AD43" t="str">
        <f t="shared" si="12"/>
        <v>Frequent Monitoring</v>
      </c>
      <c r="AE43" t="str">
        <f t="shared" si="13"/>
        <v>Every 2 Days</v>
      </c>
      <c r="AF43" t="str">
        <f t="shared" si="14"/>
        <v>Frequent Monitoring</v>
      </c>
      <c r="AG43" t="str">
        <f t="shared" si="15"/>
        <v>High</v>
      </c>
      <c r="AH43">
        <f t="shared" si="16"/>
        <v>60</v>
      </c>
      <c r="AI43" t="str">
        <f t="shared" si="17"/>
        <v>High</v>
      </c>
    </row>
    <row r="44" spans="1:35">
      <c r="A44" t="s">
        <v>249</v>
      </c>
      <c r="B44" t="s">
        <v>29</v>
      </c>
      <c r="C44" t="s">
        <v>22</v>
      </c>
      <c r="D44" t="s">
        <v>23</v>
      </c>
      <c r="E44">
        <v>666</v>
      </c>
      <c r="F44">
        <v>345</v>
      </c>
      <c r="G44">
        <v>44</v>
      </c>
      <c r="H44">
        <v>12</v>
      </c>
      <c r="I44">
        <v>479.78</v>
      </c>
      <c r="J44">
        <v>0.21</v>
      </c>
      <c r="K44">
        <v>836</v>
      </c>
      <c r="L44">
        <v>0.71</v>
      </c>
      <c r="M44">
        <v>8</v>
      </c>
      <c r="N44" s="1">
        <f t="shared" si="0"/>
        <v>11.5</v>
      </c>
      <c r="O44" s="1">
        <f>N44*(1+Control_Panel!$B$2)</f>
        <v>11.5</v>
      </c>
      <c r="P44" s="12">
        <f t="shared" si="1"/>
        <v>0.12753623188405797</v>
      </c>
      <c r="Q44" t="str" cm="1">
        <f t="array" ref="Q44">_xlfn.IFS(P44&lt;0.2,"Stable",P44&lt;=0.5,"Moderate",P44&gt;0.5,"Highly veriable")</f>
        <v>Stable</v>
      </c>
      <c r="R44" s="1">
        <f t="shared" si="2"/>
        <v>152.4204710660612</v>
      </c>
      <c r="S44" s="1">
        <f t="shared" si="3"/>
        <v>175.9204710660612</v>
      </c>
      <c r="T44" s="1">
        <f t="shared" si="4"/>
        <v>490.07952893393883</v>
      </c>
      <c r="U44" t="str">
        <f t="shared" si="5"/>
        <v xml:space="preserve"> Safe</v>
      </c>
      <c r="V44">
        <f t="shared" si="6"/>
        <v>4140</v>
      </c>
      <c r="W44" s="9">
        <f t="shared" si="7"/>
        <v>1986289.2</v>
      </c>
      <c r="Y44">
        <f t="shared" si="8"/>
        <v>4.4532643475633221E-3</v>
      </c>
      <c r="Z44" s="12">
        <f t="shared" si="18"/>
        <v>0.22352478915013124</v>
      </c>
      <c r="AA44" t="str">
        <f t="shared" si="9"/>
        <v>A</v>
      </c>
      <c r="AB44" t="str">
        <f t="shared" si="10"/>
        <v>X</v>
      </c>
      <c r="AC44" t="str">
        <f t="shared" si="11"/>
        <v>AX</v>
      </c>
      <c r="AD44" t="str">
        <f t="shared" si="12"/>
        <v>Strict Control</v>
      </c>
      <c r="AE44" t="str">
        <f t="shared" si="13"/>
        <v>Daily</v>
      </c>
      <c r="AF44" t="str">
        <f t="shared" si="14"/>
        <v>Strict Replenishment</v>
      </c>
      <c r="AG44" t="str">
        <f t="shared" si="15"/>
        <v>Low</v>
      </c>
      <c r="AH44">
        <f t="shared" si="16"/>
        <v>60</v>
      </c>
      <c r="AI44" t="str">
        <f t="shared" si="17"/>
        <v>High</v>
      </c>
    </row>
    <row r="45" spans="1:35">
      <c r="A45" t="s">
        <v>284</v>
      </c>
      <c r="B45" t="s">
        <v>14</v>
      </c>
      <c r="C45" t="s">
        <v>22</v>
      </c>
      <c r="D45" t="s">
        <v>19</v>
      </c>
      <c r="E45">
        <v>61</v>
      </c>
      <c r="F45">
        <v>384</v>
      </c>
      <c r="G45">
        <v>51</v>
      </c>
      <c r="H45">
        <v>19</v>
      </c>
      <c r="I45">
        <v>430.17</v>
      </c>
      <c r="J45">
        <v>0.13</v>
      </c>
      <c r="K45">
        <v>467</v>
      </c>
      <c r="L45">
        <v>0.88</v>
      </c>
      <c r="M45">
        <v>8</v>
      </c>
      <c r="N45" s="1">
        <f t="shared" si="0"/>
        <v>12.8</v>
      </c>
      <c r="O45" s="1">
        <f>N45*(1+Control_Panel!$B$2)</f>
        <v>12.8</v>
      </c>
      <c r="P45" s="12">
        <f t="shared" si="1"/>
        <v>0.1328125</v>
      </c>
      <c r="Q45" t="str" cm="1">
        <f t="array" ref="Q45">_xlfn.IFS(P45&lt;0.2,"Stable",P45&lt;=0.5,"Moderate",P45&gt;0.5,"Highly veriable")</f>
        <v>Stable</v>
      </c>
      <c r="R45" s="1">
        <f t="shared" si="2"/>
        <v>222.30384612057438</v>
      </c>
      <c r="S45" s="1">
        <f t="shared" si="3"/>
        <v>254.10384612057439</v>
      </c>
      <c r="T45" s="1">
        <f t="shared" si="4"/>
        <v>-193.10384612057439</v>
      </c>
      <c r="U45" t="str">
        <f t="shared" si="5"/>
        <v xml:space="preserve"> Need to Order</v>
      </c>
      <c r="V45">
        <f t="shared" si="6"/>
        <v>4608</v>
      </c>
      <c r="W45" s="9">
        <f t="shared" si="7"/>
        <v>1982223.3600000001</v>
      </c>
      <c r="Y45">
        <f t="shared" si="8"/>
        <v>4.4441487261750083E-3</v>
      </c>
      <c r="Z45" s="12">
        <f t="shared" si="18"/>
        <v>0.22796893787630626</v>
      </c>
      <c r="AA45" t="str">
        <f t="shared" si="9"/>
        <v>A</v>
      </c>
      <c r="AB45" t="str">
        <f t="shared" si="10"/>
        <v>X</v>
      </c>
      <c r="AC45" t="str">
        <f t="shared" si="11"/>
        <v>AX</v>
      </c>
      <c r="AD45" t="str">
        <f t="shared" si="12"/>
        <v>Strict Control</v>
      </c>
      <c r="AE45" t="str">
        <f t="shared" si="13"/>
        <v>Daily</v>
      </c>
      <c r="AF45" t="str">
        <f t="shared" si="14"/>
        <v>Strict Replenishment</v>
      </c>
      <c r="AG45" t="str">
        <f t="shared" si="15"/>
        <v>Low</v>
      </c>
      <c r="AH45">
        <f t="shared" si="16"/>
        <v>60</v>
      </c>
      <c r="AI45" t="str">
        <f t="shared" si="17"/>
        <v>High</v>
      </c>
    </row>
    <row r="46" spans="1:35">
      <c r="A46" t="s">
        <v>194</v>
      </c>
      <c r="B46" t="s">
        <v>34</v>
      </c>
      <c r="C46" t="s">
        <v>15</v>
      </c>
      <c r="D46" t="s">
        <v>16</v>
      </c>
      <c r="E46">
        <v>884</v>
      </c>
      <c r="F46">
        <v>440</v>
      </c>
      <c r="G46">
        <v>13</v>
      </c>
      <c r="H46">
        <v>4</v>
      </c>
      <c r="I46">
        <v>373.68</v>
      </c>
      <c r="J46">
        <v>0.21</v>
      </c>
      <c r="K46">
        <v>246</v>
      </c>
      <c r="L46">
        <v>0.97</v>
      </c>
      <c r="M46">
        <v>1</v>
      </c>
      <c r="N46" s="1">
        <f t="shared" si="0"/>
        <v>14.666666666666666</v>
      </c>
      <c r="O46" s="1">
        <f>N46*(1+Control_Panel!$B$2)</f>
        <v>14.666666666666666</v>
      </c>
      <c r="P46" s="12">
        <f t="shared" si="1"/>
        <v>2.9545454545454545E-2</v>
      </c>
      <c r="Q46" t="str" cm="1">
        <f t="array" ref="Q46">_xlfn.IFS(P46&lt;0.2,"Stable",P46&lt;=0.5,"Moderate",P46&gt;0.5,"Highly veriable")</f>
        <v>Stable</v>
      </c>
      <c r="R46" s="1">
        <f t="shared" si="2"/>
        <v>26</v>
      </c>
      <c r="S46" s="1">
        <f t="shared" si="3"/>
        <v>44.666666666666664</v>
      </c>
      <c r="T46" s="1">
        <f t="shared" si="4"/>
        <v>839.33333333333337</v>
      </c>
      <c r="U46" t="str">
        <f t="shared" si="5"/>
        <v xml:space="preserve"> Safe</v>
      </c>
      <c r="V46">
        <f t="shared" si="6"/>
        <v>5280</v>
      </c>
      <c r="W46" s="9">
        <f t="shared" si="7"/>
        <v>1973030.4000000001</v>
      </c>
      <c r="Y46">
        <f t="shared" si="8"/>
        <v>4.4235380915219197E-3</v>
      </c>
      <c r="Z46" s="12">
        <f t="shared" si="18"/>
        <v>0.23239247596782819</v>
      </c>
      <c r="AA46" t="str">
        <f t="shared" si="9"/>
        <v>A</v>
      </c>
      <c r="AB46" t="str">
        <f t="shared" si="10"/>
        <v>X</v>
      </c>
      <c r="AC46" t="str">
        <f t="shared" si="11"/>
        <v>AX</v>
      </c>
      <c r="AD46" t="str">
        <f t="shared" si="12"/>
        <v>Strict Control</v>
      </c>
      <c r="AE46" t="str">
        <f t="shared" si="13"/>
        <v>Daily</v>
      </c>
      <c r="AF46" t="str">
        <f t="shared" si="14"/>
        <v>Strict Replenishment</v>
      </c>
      <c r="AG46" t="str">
        <f t="shared" si="15"/>
        <v>Low</v>
      </c>
      <c r="AH46">
        <f t="shared" si="16"/>
        <v>40</v>
      </c>
      <c r="AI46" t="str">
        <f t="shared" si="17"/>
        <v>Low</v>
      </c>
    </row>
    <row r="47" spans="1:35">
      <c r="A47" t="s">
        <v>322</v>
      </c>
      <c r="B47" t="s">
        <v>14</v>
      </c>
      <c r="C47" t="s">
        <v>15</v>
      </c>
      <c r="D47" t="s">
        <v>16</v>
      </c>
      <c r="E47">
        <v>508</v>
      </c>
      <c r="F47">
        <v>482</v>
      </c>
      <c r="G47">
        <v>49</v>
      </c>
      <c r="H47">
        <v>10</v>
      </c>
      <c r="I47">
        <v>339.67</v>
      </c>
      <c r="J47">
        <v>0.16</v>
      </c>
      <c r="K47">
        <v>431</v>
      </c>
      <c r="L47">
        <v>0.89</v>
      </c>
      <c r="M47">
        <v>6</v>
      </c>
      <c r="N47" s="1">
        <f t="shared" si="0"/>
        <v>16.066666666666666</v>
      </c>
      <c r="O47" s="1">
        <f>N47*(1+Control_Panel!$B$2)</f>
        <v>16.066666666666666</v>
      </c>
      <c r="P47" s="12">
        <f t="shared" si="1"/>
        <v>0.1016597510373444</v>
      </c>
      <c r="Q47" t="str" cm="1">
        <f t="array" ref="Q47">_xlfn.IFS(P47&lt;0.2,"Stable",P47&lt;=0.5,"Moderate",P47&gt;0.5,"Highly veriable")</f>
        <v>Stable</v>
      </c>
      <c r="R47" s="1">
        <f t="shared" si="2"/>
        <v>154.95160534825061</v>
      </c>
      <c r="S47" s="1">
        <f t="shared" si="3"/>
        <v>181.01827201491727</v>
      </c>
      <c r="T47" s="1">
        <f t="shared" si="4"/>
        <v>326.98172798508273</v>
      </c>
      <c r="U47" t="str">
        <f t="shared" si="5"/>
        <v xml:space="preserve"> Safe</v>
      </c>
      <c r="V47">
        <f t="shared" si="6"/>
        <v>5784</v>
      </c>
      <c r="W47" s="9">
        <f t="shared" si="7"/>
        <v>1964651.28</v>
      </c>
      <c r="Y47">
        <f t="shared" si="8"/>
        <v>4.4047520877718337E-3</v>
      </c>
      <c r="Z47" s="12">
        <f t="shared" si="18"/>
        <v>0.23679722805560002</v>
      </c>
      <c r="AA47" t="str">
        <f t="shared" si="9"/>
        <v>A</v>
      </c>
      <c r="AB47" t="str">
        <f t="shared" si="10"/>
        <v>X</v>
      </c>
      <c r="AC47" t="str">
        <f t="shared" si="11"/>
        <v>AX</v>
      </c>
      <c r="AD47" t="str">
        <f t="shared" si="12"/>
        <v>Strict Control</v>
      </c>
      <c r="AE47" t="str">
        <f t="shared" si="13"/>
        <v>Daily</v>
      </c>
      <c r="AF47" t="str">
        <f t="shared" si="14"/>
        <v>Strict Replenishment</v>
      </c>
      <c r="AG47" t="str">
        <f t="shared" si="15"/>
        <v>Low</v>
      </c>
      <c r="AH47">
        <f t="shared" si="16"/>
        <v>50</v>
      </c>
      <c r="AI47" t="str">
        <f t="shared" si="17"/>
        <v>Medium</v>
      </c>
    </row>
    <row r="48" spans="1:35">
      <c r="A48" t="s">
        <v>466</v>
      </c>
      <c r="B48" t="s">
        <v>34</v>
      </c>
      <c r="C48" t="s">
        <v>22</v>
      </c>
      <c r="D48" t="s">
        <v>23</v>
      </c>
      <c r="E48">
        <v>90</v>
      </c>
      <c r="F48">
        <v>491</v>
      </c>
      <c r="G48">
        <v>96</v>
      </c>
      <c r="H48">
        <v>20</v>
      </c>
      <c r="I48">
        <v>329.11</v>
      </c>
      <c r="J48">
        <v>0.06</v>
      </c>
      <c r="K48">
        <v>903</v>
      </c>
      <c r="L48">
        <v>0.73</v>
      </c>
      <c r="M48">
        <v>9</v>
      </c>
      <c r="N48" s="1">
        <f t="shared" si="0"/>
        <v>16.366666666666667</v>
      </c>
      <c r="O48" s="1">
        <f>N48*(1+Control_Panel!$B$2)</f>
        <v>16.366666666666667</v>
      </c>
      <c r="P48" s="12">
        <f t="shared" si="1"/>
        <v>0.1955193482688391</v>
      </c>
      <c r="Q48" t="str" cm="1">
        <f t="array" ref="Q48">_xlfn.IFS(P48&lt;0.2,"Stable",P48&lt;=0.5,"Moderate",P48&gt;0.5,"Highly veriable")</f>
        <v>Stable</v>
      </c>
      <c r="R48" s="1">
        <f t="shared" si="2"/>
        <v>429.32505167995964</v>
      </c>
      <c r="S48" s="1">
        <f t="shared" si="3"/>
        <v>465.69171834662632</v>
      </c>
      <c r="T48" s="1">
        <f t="shared" si="4"/>
        <v>-375.69171834662632</v>
      </c>
      <c r="U48" t="str">
        <f t="shared" si="5"/>
        <v xml:space="preserve"> Need to Order</v>
      </c>
      <c r="V48">
        <f t="shared" si="6"/>
        <v>5892</v>
      </c>
      <c r="W48" s="9">
        <f t="shared" si="7"/>
        <v>1939116.12</v>
      </c>
      <c r="Y48">
        <f t="shared" si="8"/>
        <v>4.3475022081282634E-3</v>
      </c>
      <c r="Z48" s="12">
        <f t="shared" si="18"/>
        <v>0.24114473026372829</v>
      </c>
      <c r="AA48" t="str">
        <f t="shared" si="9"/>
        <v>A</v>
      </c>
      <c r="AB48" t="str">
        <f t="shared" si="10"/>
        <v>X</v>
      </c>
      <c r="AC48" t="str">
        <f t="shared" si="11"/>
        <v>AX</v>
      </c>
      <c r="AD48" t="str">
        <f t="shared" si="12"/>
        <v>Strict Control</v>
      </c>
      <c r="AE48" t="str">
        <f t="shared" si="13"/>
        <v>Daily</v>
      </c>
      <c r="AF48" t="str">
        <f t="shared" si="14"/>
        <v>Strict Replenishment</v>
      </c>
      <c r="AG48" t="str">
        <f t="shared" si="15"/>
        <v>Low</v>
      </c>
      <c r="AH48">
        <f t="shared" si="16"/>
        <v>60</v>
      </c>
      <c r="AI48" t="str">
        <f t="shared" si="17"/>
        <v>High</v>
      </c>
    </row>
    <row r="49" spans="1:35">
      <c r="A49" t="s">
        <v>148</v>
      </c>
      <c r="B49" t="s">
        <v>18</v>
      </c>
      <c r="C49" t="s">
        <v>22</v>
      </c>
      <c r="D49" t="s">
        <v>19</v>
      </c>
      <c r="E49">
        <v>132</v>
      </c>
      <c r="F49">
        <v>444</v>
      </c>
      <c r="G49">
        <v>98</v>
      </c>
      <c r="H49">
        <v>3</v>
      </c>
      <c r="I49">
        <v>361.49</v>
      </c>
      <c r="J49">
        <v>0.11</v>
      </c>
      <c r="K49">
        <v>703</v>
      </c>
      <c r="L49">
        <v>0.91</v>
      </c>
      <c r="M49">
        <v>7</v>
      </c>
      <c r="N49" s="1">
        <f t="shared" si="0"/>
        <v>14.8</v>
      </c>
      <c r="O49" s="1">
        <f>N49*(1+Control_Panel!$B$2)</f>
        <v>14.8</v>
      </c>
      <c r="P49" s="12">
        <f t="shared" si="1"/>
        <v>0.22072072072072071</v>
      </c>
      <c r="Q49" t="str" cm="1">
        <f t="array" ref="Q49">_xlfn.IFS(P49&lt;0.2,"Stable",P49&lt;=0.5,"Moderate",P49&gt;0.5,"Highly veriable")</f>
        <v>Moderate</v>
      </c>
      <c r="R49" s="1">
        <f t="shared" si="2"/>
        <v>169.74097914174996</v>
      </c>
      <c r="S49" s="1">
        <f t="shared" si="3"/>
        <v>187.54097914174997</v>
      </c>
      <c r="T49" s="1">
        <f t="shared" si="4"/>
        <v>-55.540979141749972</v>
      </c>
      <c r="U49" t="str">
        <f t="shared" si="5"/>
        <v xml:space="preserve"> Need to Order</v>
      </c>
      <c r="V49">
        <f t="shared" si="6"/>
        <v>5328</v>
      </c>
      <c r="W49" s="9">
        <f t="shared" si="7"/>
        <v>1926018.72</v>
      </c>
      <c r="Y49">
        <f t="shared" si="8"/>
        <v>4.3181378112087327E-3</v>
      </c>
      <c r="Z49" s="12">
        <f t="shared" si="18"/>
        <v>0.24546286807493703</v>
      </c>
      <c r="AA49" t="str">
        <f t="shared" si="9"/>
        <v>A</v>
      </c>
      <c r="AB49" t="str">
        <f t="shared" si="10"/>
        <v>Y</v>
      </c>
      <c r="AC49" t="str">
        <f t="shared" si="11"/>
        <v>AY</v>
      </c>
      <c r="AD49" t="str">
        <f t="shared" si="12"/>
        <v>Frequent Monitoring</v>
      </c>
      <c r="AE49" t="str">
        <f t="shared" si="13"/>
        <v>Every 2 Days</v>
      </c>
      <c r="AF49" t="str">
        <f t="shared" si="14"/>
        <v>Frequent Monitoring</v>
      </c>
      <c r="AG49" t="str">
        <f t="shared" si="15"/>
        <v>High</v>
      </c>
      <c r="AH49">
        <f t="shared" si="16"/>
        <v>60</v>
      </c>
      <c r="AI49" t="str">
        <f t="shared" si="17"/>
        <v>High</v>
      </c>
    </row>
    <row r="50" spans="1:35">
      <c r="A50" t="s">
        <v>153</v>
      </c>
      <c r="B50" t="s">
        <v>36</v>
      </c>
      <c r="C50" t="s">
        <v>22</v>
      </c>
      <c r="D50" t="s">
        <v>25</v>
      </c>
      <c r="E50">
        <v>237</v>
      </c>
      <c r="F50">
        <v>335</v>
      </c>
      <c r="G50">
        <v>50</v>
      </c>
      <c r="H50">
        <v>11</v>
      </c>
      <c r="I50">
        <v>471.47</v>
      </c>
      <c r="J50">
        <v>0.1</v>
      </c>
      <c r="K50">
        <v>422</v>
      </c>
      <c r="L50">
        <v>1</v>
      </c>
      <c r="M50">
        <v>2</v>
      </c>
      <c r="N50" s="1">
        <f t="shared" si="0"/>
        <v>11.166666666666666</v>
      </c>
      <c r="O50" s="1">
        <f>N50*(1+Control_Panel!$B$2)</f>
        <v>11.166666666666666</v>
      </c>
      <c r="P50" s="12">
        <f t="shared" si="1"/>
        <v>0.14925373134328357</v>
      </c>
      <c r="Q50" t="str" cm="1">
        <f t="array" ref="Q50">_xlfn.IFS(P50&lt;0.2,"Stable",P50&lt;=0.5,"Moderate",P50&gt;0.5,"Highly veriable")</f>
        <v>Stable</v>
      </c>
      <c r="R50" s="1">
        <f t="shared" si="2"/>
        <v>165.83123951777</v>
      </c>
      <c r="S50" s="1">
        <f t="shared" si="3"/>
        <v>187.99790618443666</v>
      </c>
      <c r="T50" s="1">
        <f t="shared" si="4"/>
        <v>49.002093815563342</v>
      </c>
      <c r="U50" t="str">
        <f t="shared" si="5"/>
        <v xml:space="preserve"> Risk</v>
      </c>
      <c r="V50">
        <f t="shared" si="6"/>
        <v>4020</v>
      </c>
      <c r="W50" s="9">
        <f t="shared" si="7"/>
        <v>1895309.4000000001</v>
      </c>
      <c r="Y50">
        <f t="shared" si="8"/>
        <v>4.2492874545265779E-3</v>
      </c>
      <c r="Z50" s="12">
        <f t="shared" si="18"/>
        <v>0.2497121555294636</v>
      </c>
      <c r="AA50" t="str">
        <f t="shared" si="9"/>
        <v>A</v>
      </c>
      <c r="AB50" t="str">
        <f t="shared" si="10"/>
        <v>X</v>
      </c>
      <c r="AC50" t="str">
        <f t="shared" si="11"/>
        <v>AX</v>
      </c>
      <c r="AD50" t="str">
        <f t="shared" si="12"/>
        <v>Strict Control</v>
      </c>
      <c r="AE50" t="str">
        <f t="shared" si="13"/>
        <v>Daily</v>
      </c>
      <c r="AF50" t="str">
        <f t="shared" si="14"/>
        <v>Strict Replenishment</v>
      </c>
      <c r="AG50" t="str">
        <f t="shared" si="15"/>
        <v>Low</v>
      </c>
      <c r="AH50">
        <f t="shared" si="16"/>
        <v>40</v>
      </c>
      <c r="AI50" t="str">
        <f t="shared" si="17"/>
        <v>Low</v>
      </c>
    </row>
    <row r="51" spans="1:35">
      <c r="A51" t="s">
        <v>66</v>
      </c>
      <c r="B51" t="s">
        <v>18</v>
      </c>
      <c r="C51" t="s">
        <v>15</v>
      </c>
      <c r="D51" t="s">
        <v>16</v>
      </c>
      <c r="E51">
        <v>986</v>
      </c>
      <c r="F51">
        <v>399</v>
      </c>
      <c r="G51">
        <v>88</v>
      </c>
      <c r="H51">
        <v>2</v>
      </c>
      <c r="I51">
        <v>395.74</v>
      </c>
      <c r="J51">
        <v>0.08</v>
      </c>
      <c r="K51">
        <v>404</v>
      </c>
      <c r="L51">
        <v>0.85</v>
      </c>
      <c r="M51">
        <v>7</v>
      </c>
      <c r="N51" s="1">
        <f t="shared" si="0"/>
        <v>13.3</v>
      </c>
      <c r="O51" s="1">
        <f>N51*(1+Control_Panel!$B$2)</f>
        <v>13.3</v>
      </c>
      <c r="P51" s="12">
        <f t="shared" si="1"/>
        <v>0.22055137844611528</v>
      </c>
      <c r="Q51" t="str" cm="1">
        <f t="array" ref="Q51">_xlfn.IFS(P51&lt;0.2,"Stable",P51&lt;=0.5,"Moderate",P51&gt;0.5,"Highly veriable")</f>
        <v>Moderate</v>
      </c>
      <c r="R51" s="1">
        <f t="shared" si="2"/>
        <v>124.45079348883237</v>
      </c>
      <c r="S51" s="1">
        <f t="shared" si="3"/>
        <v>139.75079348883239</v>
      </c>
      <c r="T51" s="1">
        <f t="shared" si="4"/>
        <v>846.24920651116759</v>
      </c>
      <c r="U51" t="str">
        <f t="shared" si="5"/>
        <v xml:space="preserve"> Safe</v>
      </c>
      <c r="V51">
        <f t="shared" si="6"/>
        <v>4788</v>
      </c>
      <c r="W51" s="9">
        <f t="shared" si="7"/>
        <v>1894803.12</v>
      </c>
      <c r="Y51">
        <f t="shared" si="8"/>
        <v>4.2481523737569271E-3</v>
      </c>
      <c r="Z51" s="12">
        <f t="shared" si="18"/>
        <v>0.25396030790322055</v>
      </c>
      <c r="AA51" t="str">
        <f t="shared" si="9"/>
        <v>A</v>
      </c>
      <c r="AB51" t="str">
        <f t="shared" si="10"/>
        <v>Y</v>
      </c>
      <c r="AC51" t="str">
        <f t="shared" si="11"/>
        <v>AY</v>
      </c>
      <c r="AD51" t="str">
        <f t="shared" si="12"/>
        <v>Frequent Monitoring</v>
      </c>
      <c r="AE51" t="str">
        <f t="shared" si="13"/>
        <v>Every 2 Days</v>
      </c>
      <c r="AF51" t="str">
        <f t="shared" si="14"/>
        <v>Frequent Monitoring</v>
      </c>
      <c r="AG51" t="str">
        <f t="shared" si="15"/>
        <v>High</v>
      </c>
      <c r="AH51">
        <f t="shared" si="16"/>
        <v>60</v>
      </c>
      <c r="AI51" t="str">
        <f t="shared" si="17"/>
        <v>High</v>
      </c>
    </row>
    <row r="52" spans="1:35">
      <c r="A52" t="s">
        <v>121</v>
      </c>
      <c r="B52" t="s">
        <v>34</v>
      </c>
      <c r="C52" t="s">
        <v>22</v>
      </c>
      <c r="D52" t="s">
        <v>41</v>
      </c>
      <c r="E52">
        <v>106</v>
      </c>
      <c r="F52">
        <v>410</v>
      </c>
      <c r="G52">
        <v>86</v>
      </c>
      <c r="H52">
        <v>16</v>
      </c>
      <c r="I52">
        <v>384.87</v>
      </c>
      <c r="J52">
        <v>0.21</v>
      </c>
      <c r="K52">
        <v>804</v>
      </c>
      <c r="L52">
        <v>0.84</v>
      </c>
      <c r="M52">
        <v>8</v>
      </c>
      <c r="N52" s="1">
        <f t="shared" si="0"/>
        <v>13.666666666666666</v>
      </c>
      <c r="O52" s="1">
        <f>N52*(1+Control_Panel!$B$2)</f>
        <v>13.666666666666666</v>
      </c>
      <c r="P52" s="12">
        <f t="shared" si="1"/>
        <v>0.2097560975609756</v>
      </c>
      <c r="Q52" t="str" cm="1">
        <f t="array" ref="Q52">_xlfn.IFS(P52&lt;0.2,"Stable",P52&lt;=0.5,"Moderate",P52&gt;0.5,"Highly veriable")</f>
        <v>Moderate</v>
      </c>
      <c r="R52" s="1">
        <f t="shared" si="2"/>
        <v>344</v>
      </c>
      <c r="S52" s="1">
        <f t="shared" si="3"/>
        <v>373.66666666666669</v>
      </c>
      <c r="T52" s="1">
        <f t="shared" si="4"/>
        <v>-267.66666666666669</v>
      </c>
      <c r="U52" t="str">
        <f t="shared" si="5"/>
        <v xml:space="preserve"> Need to Order</v>
      </c>
      <c r="V52">
        <f t="shared" si="6"/>
        <v>4920</v>
      </c>
      <c r="W52" s="9">
        <f t="shared" si="7"/>
        <v>1893560.4</v>
      </c>
      <c r="Y52">
        <f t="shared" si="8"/>
        <v>4.2453661930386289E-3</v>
      </c>
      <c r="Z52" s="12">
        <f t="shared" si="18"/>
        <v>0.25820567409625916</v>
      </c>
      <c r="AA52" t="str">
        <f t="shared" si="9"/>
        <v>A</v>
      </c>
      <c r="AB52" t="str">
        <f t="shared" si="10"/>
        <v>Y</v>
      </c>
      <c r="AC52" t="str">
        <f t="shared" si="11"/>
        <v>AY</v>
      </c>
      <c r="AD52" t="str">
        <f t="shared" si="12"/>
        <v>Frequent Monitoring</v>
      </c>
      <c r="AE52" t="str">
        <f t="shared" si="13"/>
        <v>Every 2 Days</v>
      </c>
      <c r="AF52" t="str">
        <f t="shared" si="14"/>
        <v>Frequent Monitoring</v>
      </c>
      <c r="AG52" t="str">
        <f t="shared" si="15"/>
        <v>High</v>
      </c>
      <c r="AH52">
        <f t="shared" si="16"/>
        <v>70</v>
      </c>
      <c r="AI52" t="str">
        <f t="shared" si="17"/>
        <v>Critical</v>
      </c>
    </row>
    <row r="53" spans="1:35">
      <c r="A53" t="s">
        <v>169</v>
      </c>
      <c r="B53" t="s">
        <v>36</v>
      </c>
      <c r="C53" t="s">
        <v>22</v>
      </c>
      <c r="D53" t="s">
        <v>25</v>
      </c>
      <c r="E53">
        <v>61</v>
      </c>
      <c r="F53">
        <v>423</v>
      </c>
      <c r="G53">
        <v>49</v>
      </c>
      <c r="H53">
        <v>7</v>
      </c>
      <c r="I53">
        <v>372.68</v>
      </c>
      <c r="J53">
        <v>0.15</v>
      </c>
      <c r="K53">
        <v>622</v>
      </c>
      <c r="L53">
        <v>0.8</v>
      </c>
      <c r="M53">
        <v>4</v>
      </c>
      <c r="N53" s="1">
        <f t="shared" si="0"/>
        <v>14.1</v>
      </c>
      <c r="O53" s="1">
        <f>N53*(1+Control_Panel!$B$2)</f>
        <v>14.1</v>
      </c>
      <c r="P53" s="12">
        <f t="shared" si="1"/>
        <v>0.11583924349881797</v>
      </c>
      <c r="Q53" t="str" cm="1">
        <f t="array" ref="Q53">_xlfn.IFS(P53&lt;0.2,"Stable",P53&lt;=0.5,"Moderate",P53&gt;0.5,"Highly veriable")</f>
        <v>Stable</v>
      </c>
      <c r="R53" s="1">
        <f t="shared" si="2"/>
        <v>129.64181424216494</v>
      </c>
      <c r="S53" s="1">
        <f t="shared" si="3"/>
        <v>150.74181424216493</v>
      </c>
      <c r="T53" s="1">
        <f t="shared" si="4"/>
        <v>-89.741814242164935</v>
      </c>
      <c r="U53" t="str">
        <f t="shared" si="5"/>
        <v xml:space="preserve"> Need to Order</v>
      </c>
      <c r="V53">
        <f t="shared" si="6"/>
        <v>5076</v>
      </c>
      <c r="W53" s="9">
        <f t="shared" si="7"/>
        <v>1891723.68</v>
      </c>
      <c r="Y53">
        <f t="shared" si="8"/>
        <v>4.2412482631357436E-3</v>
      </c>
      <c r="Z53" s="12">
        <f t="shared" si="18"/>
        <v>0.26244692235939493</v>
      </c>
      <c r="AA53" t="str">
        <f t="shared" si="9"/>
        <v>A</v>
      </c>
      <c r="AB53" t="str">
        <f t="shared" si="10"/>
        <v>X</v>
      </c>
      <c r="AC53" t="str">
        <f t="shared" si="11"/>
        <v>AX</v>
      </c>
      <c r="AD53" t="str">
        <f t="shared" si="12"/>
        <v>Strict Control</v>
      </c>
      <c r="AE53" t="str">
        <f t="shared" si="13"/>
        <v>Daily</v>
      </c>
      <c r="AF53" t="str">
        <f t="shared" si="14"/>
        <v>Strict Replenishment</v>
      </c>
      <c r="AG53" t="str">
        <f t="shared" si="15"/>
        <v>Low</v>
      </c>
      <c r="AH53">
        <f t="shared" si="16"/>
        <v>40</v>
      </c>
      <c r="AI53" t="str">
        <f t="shared" si="17"/>
        <v>Low</v>
      </c>
    </row>
    <row r="54" spans="1:35">
      <c r="A54" t="s">
        <v>343</v>
      </c>
      <c r="B54" t="s">
        <v>29</v>
      </c>
      <c r="C54" t="s">
        <v>15</v>
      </c>
      <c r="D54" t="s">
        <v>16</v>
      </c>
      <c r="E54">
        <v>644</v>
      </c>
      <c r="F54">
        <v>329</v>
      </c>
      <c r="G54">
        <v>71</v>
      </c>
      <c r="H54">
        <v>28</v>
      </c>
      <c r="I54">
        <v>476.38</v>
      </c>
      <c r="J54">
        <v>0.19</v>
      </c>
      <c r="K54">
        <v>189</v>
      </c>
      <c r="L54">
        <v>0.75</v>
      </c>
      <c r="M54">
        <v>3</v>
      </c>
      <c r="N54" s="1">
        <f t="shared" si="0"/>
        <v>10.966666666666667</v>
      </c>
      <c r="O54" s="1">
        <f>N54*(1+Control_Panel!$B$2)</f>
        <v>10.966666666666667</v>
      </c>
      <c r="P54" s="12">
        <f t="shared" si="1"/>
        <v>0.21580547112462006</v>
      </c>
      <c r="Q54" t="str" cm="1">
        <f t="array" ref="Q54">_xlfn.IFS(P54&lt;0.2,"Stable",P54&lt;=0.5,"Moderate",P54&gt;0.5,"Highly veriable")</f>
        <v>Moderate</v>
      </c>
      <c r="R54" s="1">
        <f t="shared" si="2"/>
        <v>375.6966861711719</v>
      </c>
      <c r="S54" s="1">
        <f t="shared" si="3"/>
        <v>414.6633528378386</v>
      </c>
      <c r="T54" s="1">
        <f t="shared" si="4"/>
        <v>229.3366471621614</v>
      </c>
      <c r="U54" t="str">
        <f t="shared" si="5"/>
        <v xml:space="preserve"> Risk</v>
      </c>
      <c r="V54">
        <f t="shared" si="6"/>
        <v>3948</v>
      </c>
      <c r="W54" s="9">
        <f t="shared" si="7"/>
        <v>1880748.24</v>
      </c>
      <c r="Y54">
        <f t="shared" si="8"/>
        <v>4.2166413047679393E-3</v>
      </c>
      <c r="Z54" s="12">
        <f t="shared" si="18"/>
        <v>0.26666356366416288</v>
      </c>
      <c r="AA54" t="str">
        <f t="shared" si="9"/>
        <v>A</v>
      </c>
      <c r="AB54" t="str">
        <f t="shared" si="10"/>
        <v>Y</v>
      </c>
      <c r="AC54" t="str">
        <f t="shared" si="11"/>
        <v>AY</v>
      </c>
      <c r="AD54" t="str">
        <f t="shared" si="12"/>
        <v>Frequent Monitoring</v>
      </c>
      <c r="AE54" t="str">
        <f t="shared" si="13"/>
        <v>Every 2 Days</v>
      </c>
      <c r="AF54" t="str">
        <f t="shared" si="14"/>
        <v>Frequent Monitoring</v>
      </c>
      <c r="AG54" t="str">
        <f t="shared" si="15"/>
        <v>High</v>
      </c>
      <c r="AH54">
        <f t="shared" si="16"/>
        <v>50</v>
      </c>
      <c r="AI54" t="str">
        <f t="shared" si="17"/>
        <v>Medium</v>
      </c>
    </row>
    <row r="55" spans="1:35">
      <c r="A55" t="s">
        <v>474</v>
      </c>
      <c r="B55" t="s">
        <v>14</v>
      </c>
      <c r="C55" t="s">
        <v>22</v>
      </c>
      <c r="D55" t="s">
        <v>16</v>
      </c>
      <c r="E55">
        <v>108</v>
      </c>
      <c r="F55">
        <v>464</v>
      </c>
      <c r="G55">
        <v>29</v>
      </c>
      <c r="H55">
        <v>18</v>
      </c>
      <c r="I55">
        <v>337.24</v>
      </c>
      <c r="J55">
        <v>0.14000000000000001</v>
      </c>
      <c r="K55">
        <v>275</v>
      </c>
      <c r="L55">
        <v>0.9</v>
      </c>
      <c r="M55">
        <v>9</v>
      </c>
      <c r="N55" s="1">
        <f t="shared" si="0"/>
        <v>15.466666666666667</v>
      </c>
      <c r="O55" s="1">
        <f>N55*(1+Control_Panel!$B$2)</f>
        <v>15.466666666666667</v>
      </c>
      <c r="P55" s="12">
        <f t="shared" si="1"/>
        <v>6.25E-2</v>
      </c>
      <c r="Q55" t="str" cm="1">
        <f t="array" ref="Q55">_xlfn.IFS(P55&lt;0.2,"Stable",P55&lt;=0.5,"Moderate",P55&gt;0.5,"Highly veriable")</f>
        <v>Stable</v>
      </c>
      <c r="R55" s="1">
        <f t="shared" si="2"/>
        <v>123.03657992645925</v>
      </c>
      <c r="S55" s="1">
        <f t="shared" si="3"/>
        <v>156.50324659312594</v>
      </c>
      <c r="T55" s="1">
        <f t="shared" si="4"/>
        <v>-48.503246593125937</v>
      </c>
      <c r="U55" t="str">
        <f t="shared" si="5"/>
        <v xml:space="preserve"> Need to Order</v>
      </c>
      <c r="V55">
        <f t="shared" si="6"/>
        <v>5568</v>
      </c>
      <c r="W55" s="9">
        <f t="shared" si="7"/>
        <v>1877752.32</v>
      </c>
      <c r="Y55">
        <f t="shared" si="8"/>
        <v>4.2099244461533169E-3</v>
      </c>
      <c r="Z55" s="12">
        <f t="shared" si="18"/>
        <v>0.2708734881103162</v>
      </c>
      <c r="AA55" t="str">
        <f t="shared" si="9"/>
        <v>A</v>
      </c>
      <c r="AB55" t="str">
        <f t="shared" si="10"/>
        <v>X</v>
      </c>
      <c r="AC55" t="str">
        <f t="shared" si="11"/>
        <v>AX</v>
      </c>
      <c r="AD55" t="str">
        <f t="shared" si="12"/>
        <v>Strict Control</v>
      </c>
      <c r="AE55" t="str">
        <f t="shared" si="13"/>
        <v>Daily</v>
      </c>
      <c r="AF55" t="str">
        <f t="shared" si="14"/>
        <v>Strict Replenishment</v>
      </c>
      <c r="AG55" t="str">
        <f t="shared" si="15"/>
        <v>Low</v>
      </c>
      <c r="AH55">
        <f t="shared" si="16"/>
        <v>60</v>
      </c>
      <c r="AI55" t="str">
        <f t="shared" si="17"/>
        <v>High</v>
      </c>
    </row>
    <row r="56" spans="1:35">
      <c r="A56" t="s">
        <v>174</v>
      </c>
      <c r="B56" t="s">
        <v>29</v>
      </c>
      <c r="C56" t="s">
        <v>22</v>
      </c>
      <c r="D56" t="s">
        <v>19</v>
      </c>
      <c r="E56">
        <v>982</v>
      </c>
      <c r="F56">
        <v>394</v>
      </c>
      <c r="G56">
        <v>56</v>
      </c>
      <c r="H56">
        <v>29</v>
      </c>
      <c r="I56">
        <v>395.6</v>
      </c>
      <c r="J56">
        <v>0.21</v>
      </c>
      <c r="K56">
        <v>441</v>
      </c>
      <c r="L56">
        <v>0.79</v>
      </c>
      <c r="M56">
        <v>8</v>
      </c>
      <c r="N56" s="1">
        <f t="shared" si="0"/>
        <v>13.133333333333333</v>
      </c>
      <c r="O56" s="1">
        <f>N56*(1+Control_Panel!$B$2)</f>
        <v>13.133333333333333</v>
      </c>
      <c r="P56" s="12">
        <f t="shared" si="1"/>
        <v>0.14213197969543148</v>
      </c>
      <c r="Q56" t="str" cm="1">
        <f t="array" ref="Q56">_xlfn.IFS(P56&lt;0.2,"Stable",P56&lt;=0.5,"Moderate",P56&gt;0.5,"Highly veriable")</f>
        <v>Stable</v>
      </c>
      <c r="R56" s="1">
        <f t="shared" si="2"/>
        <v>301.56922919953223</v>
      </c>
      <c r="S56" s="1">
        <f t="shared" si="3"/>
        <v>343.70256253286556</v>
      </c>
      <c r="T56" s="1">
        <f t="shared" si="4"/>
        <v>638.29743746713439</v>
      </c>
      <c r="U56" t="str">
        <f t="shared" si="5"/>
        <v xml:space="preserve"> Safe</v>
      </c>
      <c r="V56">
        <f t="shared" si="6"/>
        <v>4728</v>
      </c>
      <c r="W56" s="9">
        <f t="shared" si="7"/>
        <v>1870396.8</v>
      </c>
      <c r="Y56">
        <f t="shared" si="8"/>
        <v>4.1934333556445484E-3</v>
      </c>
      <c r="Z56" s="12">
        <f t="shared" si="18"/>
        <v>0.27506692146596073</v>
      </c>
      <c r="AA56" t="str">
        <f t="shared" si="9"/>
        <v>A</v>
      </c>
      <c r="AB56" t="str">
        <f t="shared" si="10"/>
        <v>X</v>
      </c>
      <c r="AC56" t="str">
        <f t="shared" si="11"/>
        <v>AX</v>
      </c>
      <c r="AD56" t="str">
        <f t="shared" si="12"/>
        <v>Strict Control</v>
      </c>
      <c r="AE56" t="str">
        <f t="shared" si="13"/>
        <v>Daily</v>
      </c>
      <c r="AF56" t="str">
        <f t="shared" si="14"/>
        <v>Strict Replenishment</v>
      </c>
      <c r="AG56" t="str">
        <f t="shared" si="15"/>
        <v>Low</v>
      </c>
      <c r="AH56">
        <f t="shared" si="16"/>
        <v>60</v>
      </c>
      <c r="AI56" t="str">
        <f t="shared" si="17"/>
        <v>High</v>
      </c>
    </row>
    <row r="57" spans="1:35">
      <c r="A57" t="s">
        <v>397</v>
      </c>
      <c r="B57" t="s">
        <v>38</v>
      </c>
      <c r="C57" t="s">
        <v>15</v>
      </c>
      <c r="D57" t="s">
        <v>25</v>
      </c>
      <c r="E57">
        <v>714</v>
      </c>
      <c r="F57">
        <v>401</v>
      </c>
      <c r="G57">
        <v>69</v>
      </c>
      <c r="H57">
        <v>13</v>
      </c>
      <c r="I57">
        <v>384.47</v>
      </c>
      <c r="J57">
        <v>0.2</v>
      </c>
      <c r="K57">
        <v>496</v>
      </c>
      <c r="L57">
        <v>0.99</v>
      </c>
      <c r="M57">
        <v>10</v>
      </c>
      <c r="N57" s="1">
        <f t="shared" si="0"/>
        <v>13.366666666666667</v>
      </c>
      <c r="O57" s="1">
        <f>N57*(1+Control_Panel!$B$2)</f>
        <v>13.366666666666667</v>
      </c>
      <c r="P57" s="12">
        <f t="shared" si="1"/>
        <v>0.17206982543640897</v>
      </c>
      <c r="Q57" t="str" cm="1">
        <f t="array" ref="Q57">_xlfn.IFS(P57&lt;0.2,"Stable",P57&lt;=0.5,"Moderate",P57&gt;0.5,"Highly veriable")</f>
        <v>Stable</v>
      </c>
      <c r="R57" s="1">
        <f t="shared" si="2"/>
        <v>248.78303800701525</v>
      </c>
      <c r="S57" s="1">
        <f t="shared" si="3"/>
        <v>275.14970467368192</v>
      </c>
      <c r="T57" s="1">
        <f t="shared" si="4"/>
        <v>438.85029532631808</v>
      </c>
      <c r="U57" t="str">
        <f t="shared" si="5"/>
        <v xml:space="preserve"> Safe</v>
      </c>
      <c r="V57">
        <f t="shared" si="6"/>
        <v>4812</v>
      </c>
      <c r="W57" s="9">
        <f t="shared" si="7"/>
        <v>1850069.6400000001</v>
      </c>
      <c r="Y57">
        <f t="shared" si="8"/>
        <v>4.1478598223870476E-3</v>
      </c>
      <c r="Z57" s="12">
        <f t="shared" si="18"/>
        <v>0.27921478128834776</v>
      </c>
      <c r="AA57" t="str">
        <f t="shared" si="9"/>
        <v>A</v>
      </c>
      <c r="AB57" t="str">
        <f t="shared" si="10"/>
        <v>X</v>
      </c>
      <c r="AC57" t="str">
        <f t="shared" si="11"/>
        <v>AX</v>
      </c>
      <c r="AD57" t="str">
        <f t="shared" si="12"/>
        <v>Strict Control</v>
      </c>
      <c r="AE57" t="str">
        <f t="shared" si="13"/>
        <v>Daily</v>
      </c>
      <c r="AF57" t="str">
        <f t="shared" si="14"/>
        <v>Strict Replenishment</v>
      </c>
      <c r="AG57" t="str">
        <f t="shared" si="15"/>
        <v>Low</v>
      </c>
      <c r="AH57">
        <f t="shared" si="16"/>
        <v>60</v>
      </c>
      <c r="AI57" t="str">
        <f t="shared" si="17"/>
        <v>High</v>
      </c>
    </row>
    <row r="58" spans="1:35">
      <c r="A58" t="s">
        <v>380</v>
      </c>
      <c r="B58" t="s">
        <v>18</v>
      </c>
      <c r="C58" t="s">
        <v>15</v>
      </c>
      <c r="D58" t="s">
        <v>16</v>
      </c>
      <c r="E58">
        <v>929</v>
      </c>
      <c r="F58">
        <v>405</v>
      </c>
      <c r="G58">
        <v>44</v>
      </c>
      <c r="H58">
        <v>8</v>
      </c>
      <c r="I58">
        <v>377.69</v>
      </c>
      <c r="J58">
        <v>0.18</v>
      </c>
      <c r="K58">
        <v>530</v>
      </c>
      <c r="L58">
        <v>0.78</v>
      </c>
      <c r="M58">
        <v>3</v>
      </c>
      <c r="N58" s="1">
        <f t="shared" si="0"/>
        <v>13.5</v>
      </c>
      <c r="O58" s="1">
        <f>N58*(1+Control_Panel!$B$2)</f>
        <v>13.5</v>
      </c>
      <c r="P58" s="12">
        <f t="shared" si="1"/>
        <v>0.10864197530864197</v>
      </c>
      <c r="Q58" t="str" cm="1">
        <f t="array" ref="Q58">_xlfn.IFS(P58&lt;0.2,"Stable",P58&lt;=0.5,"Moderate",P58&gt;0.5,"Highly veriable")</f>
        <v>Stable</v>
      </c>
      <c r="R58" s="1">
        <f t="shared" si="2"/>
        <v>124.45079348883237</v>
      </c>
      <c r="S58" s="1">
        <f t="shared" si="3"/>
        <v>145.95079348883237</v>
      </c>
      <c r="T58" s="1">
        <f t="shared" si="4"/>
        <v>783.04920651116765</v>
      </c>
      <c r="U58" t="str">
        <f t="shared" si="5"/>
        <v xml:space="preserve"> Safe</v>
      </c>
      <c r="V58">
        <f t="shared" si="6"/>
        <v>4860</v>
      </c>
      <c r="W58" s="9">
        <f t="shared" si="7"/>
        <v>1835573.4</v>
      </c>
      <c r="Y58">
        <f t="shared" si="8"/>
        <v>4.1153592233978764E-3</v>
      </c>
      <c r="Z58" s="12">
        <f t="shared" si="18"/>
        <v>0.28333014051174565</v>
      </c>
      <c r="AA58" t="str">
        <f t="shared" si="9"/>
        <v>A</v>
      </c>
      <c r="AB58" t="str">
        <f t="shared" si="10"/>
        <v>X</v>
      </c>
      <c r="AC58" t="str">
        <f t="shared" si="11"/>
        <v>AX</v>
      </c>
      <c r="AD58" t="str">
        <f t="shared" si="12"/>
        <v>Strict Control</v>
      </c>
      <c r="AE58" t="str">
        <f t="shared" si="13"/>
        <v>Daily</v>
      </c>
      <c r="AF58" t="str">
        <f t="shared" si="14"/>
        <v>Strict Replenishment</v>
      </c>
      <c r="AG58" t="str">
        <f t="shared" si="15"/>
        <v>Low</v>
      </c>
      <c r="AH58">
        <f t="shared" si="16"/>
        <v>40</v>
      </c>
      <c r="AI58" t="str">
        <f t="shared" si="17"/>
        <v>Low</v>
      </c>
    </row>
    <row r="59" spans="1:35">
      <c r="A59" t="s">
        <v>464</v>
      </c>
      <c r="B59" t="s">
        <v>21</v>
      </c>
      <c r="C59" t="s">
        <v>15</v>
      </c>
      <c r="D59" t="s">
        <v>25</v>
      </c>
      <c r="E59">
        <v>622</v>
      </c>
      <c r="F59">
        <v>377</v>
      </c>
      <c r="G59">
        <v>9</v>
      </c>
      <c r="H59">
        <v>24</v>
      </c>
      <c r="I59">
        <v>404.94</v>
      </c>
      <c r="J59">
        <v>0.15</v>
      </c>
      <c r="K59">
        <v>895</v>
      </c>
      <c r="L59">
        <v>0.8</v>
      </c>
      <c r="M59">
        <v>10</v>
      </c>
      <c r="N59" s="1">
        <f t="shared" si="0"/>
        <v>12.566666666666666</v>
      </c>
      <c r="O59" s="1">
        <f>N59*(1+Control_Panel!$B$2)</f>
        <v>12.566666666666666</v>
      </c>
      <c r="P59" s="12">
        <f t="shared" si="1"/>
        <v>2.3872679045092837E-2</v>
      </c>
      <c r="Q59" t="str" cm="1">
        <f t="array" ref="Q59">_xlfn.IFS(P59&lt;0.2,"Stable",P59&lt;=0.5,"Moderate",P59&gt;0.5,"Highly veriable")</f>
        <v>Stable</v>
      </c>
      <c r="R59" s="1">
        <f t="shared" si="2"/>
        <v>44.090815370097204</v>
      </c>
      <c r="S59" s="1">
        <f t="shared" si="3"/>
        <v>80.657482036763867</v>
      </c>
      <c r="T59" s="1">
        <f t="shared" si="4"/>
        <v>541.34251796323611</v>
      </c>
      <c r="U59" t="str">
        <f t="shared" si="5"/>
        <v xml:space="preserve"> Safe</v>
      </c>
      <c r="V59">
        <f t="shared" si="6"/>
        <v>4524</v>
      </c>
      <c r="W59" s="9">
        <f t="shared" si="7"/>
        <v>1831948.56</v>
      </c>
      <c r="Y59">
        <f t="shared" si="8"/>
        <v>4.1072323248890277E-3</v>
      </c>
      <c r="Z59" s="12">
        <f t="shared" si="18"/>
        <v>0.28743737283663467</v>
      </c>
      <c r="AA59" t="str">
        <f t="shared" si="9"/>
        <v>A</v>
      </c>
      <c r="AB59" t="str">
        <f t="shared" si="10"/>
        <v>X</v>
      </c>
      <c r="AC59" t="str">
        <f t="shared" si="11"/>
        <v>AX</v>
      </c>
      <c r="AD59" t="str">
        <f t="shared" si="12"/>
        <v>Strict Control</v>
      </c>
      <c r="AE59" t="str">
        <f t="shared" si="13"/>
        <v>Daily</v>
      </c>
      <c r="AF59" t="str">
        <f t="shared" si="14"/>
        <v>Strict Replenishment</v>
      </c>
      <c r="AG59" t="str">
        <f t="shared" si="15"/>
        <v>Low</v>
      </c>
      <c r="AH59">
        <f t="shared" si="16"/>
        <v>60</v>
      </c>
      <c r="AI59" t="str">
        <f t="shared" si="17"/>
        <v>High</v>
      </c>
    </row>
    <row r="60" spans="1:35">
      <c r="A60" t="s">
        <v>88</v>
      </c>
      <c r="B60" t="s">
        <v>29</v>
      </c>
      <c r="C60" t="s">
        <v>15</v>
      </c>
      <c r="D60" t="s">
        <v>19</v>
      </c>
      <c r="E60">
        <v>62</v>
      </c>
      <c r="F60">
        <v>422</v>
      </c>
      <c r="G60">
        <v>62</v>
      </c>
      <c r="H60">
        <v>14</v>
      </c>
      <c r="I60">
        <v>360.27</v>
      </c>
      <c r="J60">
        <v>0.15</v>
      </c>
      <c r="K60">
        <v>305</v>
      </c>
      <c r="L60">
        <v>0.89</v>
      </c>
      <c r="M60">
        <v>10</v>
      </c>
      <c r="N60" s="1">
        <f t="shared" si="0"/>
        <v>14.066666666666666</v>
      </c>
      <c r="O60" s="1">
        <f>N60*(1+Control_Panel!$B$2)</f>
        <v>14.066666666666666</v>
      </c>
      <c r="P60" s="12">
        <f t="shared" si="1"/>
        <v>0.14691943127962084</v>
      </c>
      <c r="Q60" t="str" cm="1">
        <f t="array" ref="Q60">_xlfn.IFS(P60&lt;0.2,"Stable",P60&lt;=0.5,"Moderate",P60&gt;0.5,"Highly veriable")</f>
        <v>Stable</v>
      </c>
      <c r="R60" s="1">
        <f t="shared" si="2"/>
        <v>231.98275797998437</v>
      </c>
      <c r="S60" s="1">
        <f t="shared" si="3"/>
        <v>260.04942464665106</v>
      </c>
      <c r="T60" s="1">
        <f t="shared" si="4"/>
        <v>-198.04942464665106</v>
      </c>
      <c r="U60" t="str">
        <f t="shared" si="5"/>
        <v xml:space="preserve"> Need to Order</v>
      </c>
      <c r="V60">
        <f t="shared" si="6"/>
        <v>5064</v>
      </c>
      <c r="W60" s="9">
        <f t="shared" si="7"/>
        <v>1824407.2799999998</v>
      </c>
      <c r="Y60">
        <f t="shared" si="8"/>
        <v>4.0903247600898064E-3</v>
      </c>
      <c r="Z60" s="12">
        <f t="shared" si="18"/>
        <v>0.29152769759672448</v>
      </c>
      <c r="AA60" t="str">
        <f t="shared" si="9"/>
        <v>A</v>
      </c>
      <c r="AB60" t="str">
        <f t="shared" si="10"/>
        <v>X</v>
      </c>
      <c r="AC60" t="str">
        <f t="shared" si="11"/>
        <v>AX</v>
      </c>
      <c r="AD60" t="str">
        <f t="shared" si="12"/>
        <v>Strict Control</v>
      </c>
      <c r="AE60" t="str">
        <f t="shared" si="13"/>
        <v>Daily</v>
      </c>
      <c r="AF60" t="str">
        <f t="shared" si="14"/>
        <v>Strict Replenishment</v>
      </c>
      <c r="AG60" t="str">
        <f t="shared" si="15"/>
        <v>Low</v>
      </c>
      <c r="AH60">
        <f t="shared" si="16"/>
        <v>60</v>
      </c>
      <c r="AI60" t="str">
        <f t="shared" si="17"/>
        <v>High</v>
      </c>
    </row>
    <row r="61" spans="1:35">
      <c r="A61" t="s">
        <v>282</v>
      </c>
      <c r="B61" t="s">
        <v>14</v>
      </c>
      <c r="C61" t="s">
        <v>22</v>
      </c>
      <c r="D61" t="s">
        <v>41</v>
      </c>
      <c r="E61">
        <v>288</v>
      </c>
      <c r="F61">
        <v>381</v>
      </c>
      <c r="G61">
        <v>13</v>
      </c>
      <c r="H61">
        <v>6</v>
      </c>
      <c r="I61">
        <v>389.58</v>
      </c>
      <c r="J61">
        <v>0.19</v>
      </c>
      <c r="K61">
        <v>484</v>
      </c>
      <c r="L61">
        <v>0.96</v>
      </c>
      <c r="M61">
        <v>3</v>
      </c>
      <c r="N61" s="1">
        <f t="shared" si="0"/>
        <v>12.7</v>
      </c>
      <c r="O61" s="1">
        <f>N61*(1+Control_Panel!$B$2)</f>
        <v>12.7</v>
      </c>
      <c r="P61" s="12">
        <f t="shared" si="1"/>
        <v>3.4120734908136482E-2</v>
      </c>
      <c r="Q61" t="str" cm="1">
        <f t="array" ref="Q61">_xlfn.IFS(P61&lt;0.2,"Stable",P61&lt;=0.5,"Moderate",P61&gt;0.5,"Highly veriable")</f>
        <v>Stable</v>
      </c>
      <c r="R61" s="1">
        <f t="shared" si="2"/>
        <v>31.843366656181313</v>
      </c>
      <c r="S61" s="1">
        <f t="shared" si="3"/>
        <v>50.543366656181313</v>
      </c>
      <c r="T61" s="1">
        <f t="shared" si="4"/>
        <v>237.45663334381868</v>
      </c>
      <c r="U61" t="str">
        <f t="shared" si="5"/>
        <v xml:space="preserve"> Safe</v>
      </c>
      <c r="V61">
        <f t="shared" si="6"/>
        <v>4572</v>
      </c>
      <c r="W61" s="9">
        <f t="shared" si="7"/>
        <v>1781159.76</v>
      </c>
      <c r="Y61">
        <f t="shared" si="8"/>
        <v>3.9933637340033084E-3</v>
      </c>
      <c r="Z61" s="12">
        <f t="shared" si="18"/>
        <v>0.29552106133072781</v>
      </c>
      <c r="AA61" t="str">
        <f t="shared" si="9"/>
        <v>A</v>
      </c>
      <c r="AB61" t="str">
        <f t="shared" si="10"/>
        <v>X</v>
      </c>
      <c r="AC61" t="str">
        <f t="shared" si="11"/>
        <v>AX</v>
      </c>
      <c r="AD61" t="str">
        <f t="shared" si="12"/>
        <v>Strict Control</v>
      </c>
      <c r="AE61" t="str">
        <f t="shared" si="13"/>
        <v>Daily</v>
      </c>
      <c r="AF61" t="str">
        <f t="shared" si="14"/>
        <v>Strict Replenishment</v>
      </c>
      <c r="AG61" t="str">
        <f t="shared" si="15"/>
        <v>Low</v>
      </c>
      <c r="AH61">
        <f t="shared" si="16"/>
        <v>40</v>
      </c>
      <c r="AI61" t="str">
        <f t="shared" si="17"/>
        <v>Low</v>
      </c>
    </row>
    <row r="62" spans="1:35">
      <c r="A62" t="s">
        <v>418</v>
      </c>
      <c r="B62" t="s">
        <v>34</v>
      </c>
      <c r="C62" t="s">
        <v>15</v>
      </c>
      <c r="D62" t="s">
        <v>19</v>
      </c>
      <c r="E62">
        <v>953</v>
      </c>
      <c r="F62">
        <v>337</v>
      </c>
      <c r="G62">
        <v>7</v>
      </c>
      <c r="H62">
        <v>25</v>
      </c>
      <c r="I62">
        <v>438.27</v>
      </c>
      <c r="J62">
        <v>0.18</v>
      </c>
      <c r="K62">
        <v>210</v>
      </c>
      <c r="L62">
        <v>0.93</v>
      </c>
      <c r="M62">
        <v>1</v>
      </c>
      <c r="N62" s="1">
        <f t="shared" si="0"/>
        <v>11.233333333333333</v>
      </c>
      <c r="O62" s="1">
        <f>N62*(1+Control_Panel!$B$2)</f>
        <v>11.233333333333333</v>
      </c>
      <c r="P62" s="12">
        <f t="shared" si="1"/>
        <v>2.0771513353115726E-2</v>
      </c>
      <c r="Q62" t="str" cm="1">
        <f t="array" ref="Q62">_xlfn.IFS(P62&lt;0.2,"Stable",P62&lt;=0.5,"Moderate",P62&gt;0.5,"Highly veriable")</f>
        <v>Stable</v>
      </c>
      <c r="R62" s="1">
        <f t="shared" si="2"/>
        <v>35</v>
      </c>
      <c r="S62" s="1">
        <f t="shared" si="3"/>
        <v>71.233333333333334</v>
      </c>
      <c r="T62" s="1">
        <f t="shared" si="4"/>
        <v>881.76666666666665</v>
      </c>
      <c r="U62" t="str">
        <f t="shared" si="5"/>
        <v xml:space="preserve"> Safe</v>
      </c>
      <c r="V62">
        <f t="shared" si="6"/>
        <v>4044</v>
      </c>
      <c r="W62" s="9">
        <f t="shared" si="7"/>
        <v>1772363.88</v>
      </c>
      <c r="Y62">
        <f t="shared" si="8"/>
        <v>3.9736433535020972E-3</v>
      </c>
      <c r="Z62" s="12">
        <f t="shared" si="18"/>
        <v>0.2994947046842299</v>
      </c>
      <c r="AA62" t="str">
        <f t="shared" si="9"/>
        <v>A</v>
      </c>
      <c r="AB62" t="str">
        <f t="shared" si="10"/>
        <v>X</v>
      </c>
      <c r="AC62" t="str">
        <f t="shared" si="11"/>
        <v>AX</v>
      </c>
      <c r="AD62" t="str">
        <f t="shared" si="12"/>
        <v>Strict Control</v>
      </c>
      <c r="AE62" t="str">
        <f t="shared" si="13"/>
        <v>Daily</v>
      </c>
      <c r="AF62" t="str">
        <f t="shared" si="14"/>
        <v>Strict Replenishment</v>
      </c>
      <c r="AG62" t="str">
        <f t="shared" si="15"/>
        <v>Low</v>
      </c>
      <c r="AH62">
        <f t="shared" si="16"/>
        <v>40</v>
      </c>
      <c r="AI62" t="str">
        <f t="shared" si="17"/>
        <v>Low</v>
      </c>
    </row>
    <row r="63" spans="1:35">
      <c r="A63" t="s">
        <v>108</v>
      </c>
      <c r="B63" t="s">
        <v>18</v>
      </c>
      <c r="C63" t="s">
        <v>22</v>
      </c>
      <c r="D63" t="s">
        <v>25</v>
      </c>
      <c r="E63">
        <v>563</v>
      </c>
      <c r="F63">
        <v>425</v>
      </c>
      <c r="G63">
        <v>81</v>
      </c>
      <c r="H63">
        <v>25</v>
      </c>
      <c r="I63">
        <v>347.25</v>
      </c>
      <c r="J63">
        <v>0.21</v>
      </c>
      <c r="K63">
        <v>102</v>
      </c>
      <c r="L63">
        <v>0.75</v>
      </c>
      <c r="M63">
        <v>1</v>
      </c>
      <c r="N63" s="1">
        <f t="shared" si="0"/>
        <v>14.166666666666666</v>
      </c>
      <c r="O63" s="1">
        <f>N63*(1+Control_Panel!$B$2)</f>
        <v>14.166666666666666</v>
      </c>
      <c r="P63" s="12">
        <f t="shared" si="1"/>
        <v>0.19058823529411764</v>
      </c>
      <c r="Q63" t="str" cm="1">
        <f t="array" ref="Q63">_xlfn.IFS(P63&lt;0.2,"Stable",P63&lt;=0.5,"Moderate",P63&gt;0.5,"Highly veriable")</f>
        <v>Stable</v>
      </c>
      <c r="R63" s="1">
        <f t="shared" si="2"/>
        <v>405</v>
      </c>
      <c r="S63" s="1">
        <f t="shared" si="3"/>
        <v>444.16666666666669</v>
      </c>
      <c r="T63" s="1">
        <f t="shared" si="4"/>
        <v>118.83333333333331</v>
      </c>
      <c r="U63" t="str">
        <f t="shared" si="5"/>
        <v xml:space="preserve"> Risk</v>
      </c>
      <c r="V63">
        <f t="shared" si="6"/>
        <v>5100</v>
      </c>
      <c r="W63" s="9">
        <f t="shared" si="7"/>
        <v>1770975</v>
      </c>
      <c r="Y63">
        <f t="shared" si="8"/>
        <v>3.9705294817723195E-3</v>
      </c>
      <c r="Z63" s="12">
        <f t="shared" si="18"/>
        <v>0.30346523416600224</v>
      </c>
      <c r="AA63" t="str">
        <f t="shared" si="9"/>
        <v>A</v>
      </c>
      <c r="AB63" t="str">
        <f t="shared" si="10"/>
        <v>X</v>
      </c>
      <c r="AC63" t="str">
        <f t="shared" si="11"/>
        <v>AX</v>
      </c>
      <c r="AD63" t="str">
        <f t="shared" si="12"/>
        <v>Strict Control</v>
      </c>
      <c r="AE63" t="str">
        <f t="shared" si="13"/>
        <v>Daily</v>
      </c>
      <c r="AF63" t="str">
        <f t="shared" si="14"/>
        <v>Strict Replenishment</v>
      </c>
      <c r="AG63" t="str">
        <f t="shared" si="15"/>
        <v>Low</v>
      </c>
      <c r="AH63">
        <f t="shared" si="16"/>
        <v>40</v>
      </c>
      <c r="AI63" t="str">
        <f t="shared" si="17"/>
        <v>Low</v>
      </c>
    </row>
    <row r="64" spans="1:35">
      <c r="A64" t="s">
        <v>317</v>
      </c>
      <c r="B64" t="s">
        <v>14</v>
      </c>
      <c r="C64" t="s">
        <v>15</v>
      </c>
      <c r="D64" t="s">
        <v>41</v>
      </c>
      <c r="E64">
        <v>409</v>
      </c>
      <c r="F64">
        <v>374</v>
      </c>
      <c r="G64">
        <v>50</v>
      </c>
      <c r="H64">
        <v>29</v>
      </c>
      <c r="I64">
        <v>394.37</v>
      </c>
      <c r="J64">
        <v>0.19</v>
      </c>
      <c r="K64">
        <v>827</v>
      </c>
      <c r="L64">
        <v>0.89</v>
      </c>
      <c r="M64">
        <v>4</v>
      </c>
      <c r="N64" s="1">
        <f t="shared" si="0"/>
        <v>12.466666666666667</v>
      </c>
      <c r="O64" s="1">
        <f>N64*(1+Control_Panel!$B$2)</f>
        <v>12.466666666666667</v>
      </c>
      <c r="P64" s="12">
        <f t="shared" si="1"/>
        <v>0.13368983957219252</v>
      </c>
      <c r="Q64" t="str" cm="1">
        <f t="array" ref="Q64">_xlfn.IFS(P64&lt;0.2,"Stable",P64&lt;=0.5,"Moderate",P64&gt;0.5,"Highly veriable")</f>
        <v>Stable</v>
      </c>
      <c r="R64" s="1">
        <f t="shared" si="2"/>
        <v>269.2582403567252</v>
      </c>
      <c r="S64" s="1">
        <f t="shared" si="3"/>
        <v>310.72490702339189</v>
      </c>
      <c r="T64" s="1">
        <f t="shared" si="4"/>
        <v>98.275092976608107</v>
      </c>
      <c r="U64" t="str">
        <f t="shared" si="5"/>
        <v xml:space="preserve"> Risk</v>
      </c>
      <c r="V64">
        <f t="shared" si="6"/>
        <v>4488</v>
      </c>
      <c r="W64" s="9">
        <f t="shared" si="7"/>
        <v>1769932.56</v>
      </c>
      <c r="Y64">
        <f t="shared" si="8"/>
        <v>3.9681923292134305E-3</v>
      </c>
      <c r="Z64" s="12">
        <f t="shared" si="18"/>
        <v>0.30743342649521566</v>
      </c>
      <c r="AA64" t="str">
        <f t="shared" si="9"/>
        <v>A</v>
      </c>
      <c r="AB64" t="str">
        <f t="shared" si="10"/>
        <v>X</v>
      </c>
      <c r="AC64" t="str">
        <f t="shared" si="11"/>
        <v>AX</v>
      </c>
      <c r="AD64" t="str">
        <f t="shared" si="12"/>
        <v>Strict Control</v>
      </c>
      <c r="AE64" t="str">
        <f t="shared" si="13"/>
        <v>Daily</v>
      </c>
      <c r="AF64" t="str">
        <f t="shared" si="14"/>
        <v>Strict Replenishment</v>
      </c>
      <c r="AG64" t="str">
        <f t="shared" si="15"/>
        <v>Low</v>
      </c>
      <c r="AH64">
        <f t="shared" si="16"/>
        <v>40</v>
      </c>
      <c r="AI64" t="str">
        <f t="shared" si="17"/>
        <v>Low</v>
      </c>
    </row>
    <row r="65" spans="1:35">
      <c r="A65" t="s">
        <v>309</v>
      </c>
      <c r="B65" t="s">
        <v>38</v>
      </c>
      <c r="C65" t="s">
        <v>22</v>
      </c>
      <c r="D65" t="s">
        <v>25</v>
      </c>
      <c r="E65">
        <v>968</v>
      </c>
      <c r="F65">
        <v>421</v>
      </c>
      <c r="G65">
        <v>99</v>
      </c>
      <c r="H65">
        <v>30</v>
      </c>
      <c r="I65">
        <v>346.62</v>
      </c>
      <c r="J65">
        <v>0.13</v>
      </c>
      <c r="K65">
        <v>560</v>
      </c>
      <c r="L65">
        <v>0.88</v>
      </c>
      <c r="M65">
        <v>7</v>
      </c>
      <c r="N65" s="1">
        <f t="shared" si="0"/>
        <v>14.033333333333333</v>
      </c>
      <c r="O65" s="1">
        <f>N65*(1+Control_Panel!$B$2)</f>
        <v>14.033333333333333</v>
      </c>
      <c r="P65" s="12">
        <f t="shared" si="1"/>
        <v>0.23515439429928742</v>
      </c>
      <c r="Q65" t="str" cm="1">
        <f t="array" ref="Q65">_xlfn.IFS(P65&lt;0.2,"Stable",P65&lt;=0.5,"Moderate",P65&gt;0.5,"Highly veriable")</f>
        <v>Moderate</v>
      </c>
      <c r="R65" s="1">
        <f t="shared" si="2"/>
        <v>542.2453319301145</v>
      </c>
      <c r="S65" s="1">
        <f t="shared" si="3"/>
        <v>586.27866526344781</v>
      </c>
      <c r="T65" s="1">
        <f t="shared" si="4"/>
        <v>381.72133473655219</v>
      </c>
      <c r="U65" t="str">
        <f t="shared" si="5"/>
        <v xml:space="preserve"> Risk</v>
      </c>
      <c r="V65">
        <f t="shared" si="6"/>
        <v>5052</v>
      </c>
      <c r="W65" s="9">
        <f t="shared" si="7"/>
        <v>1751124.24</v>
      </c>
      <c r="Y65">
        <f t="shared" si="8"/>
        <v>3.9260240382648802E-3</v>
      </c>
      <c r="Z65" s="12">
        <f t="shared" si="18"/>
        <v>0.31135945053348052</v>
      </c>
      <c r="AA65" t="str">
        <f t="shared" si="9"/>
        <v>A</v>
      </c>
      <c r="AB65" t="str">
        <f t="shared" si="10"/>
        <v>Y</v>
      </c>
      <c r="AC65" t="str">
        <f t="shared" si="11"/>
        <v>AY</v>
      </c>
      <c r="AD65" t="str">
        <f t="shared" si="12"/>
        <v>Frequent Monitoring</v>
      </c>
      <c r="AE65" t="str">
        <f t="shared" si="13"/>
        <v>Every 2 Days</v>
      </c>
      <c r="AF65" t="str">
        <f t="shared" si="14"/>
        <v>Frequent Monitoring</v>
      </c>
      <c r="AG65" t="str">
        <f t="shared" si="15"/>
        <v>High</v>
      </c>
      <c r="AH65">
        <f t="shared" si="16"/>
        <v>60</v>
      </c>
      <c r="AI65" t="str">
        <f t="shared" si="17"/>
        <v>High</v>
      </c>
    </row>
    <row r="66" spans="1:35">
      <c r="A66" t="s">
        <v>146</v>
      </c>
      <c r="B66" t="s">
        <v>18</v>
      </c>
      <c r="C66" t="s">
        <v>15</v>
      </c>
      <c r="D66" t="s">
        <v>16</v>
      </c>
      <c r="E66">
        <v>243</v>
      </c>
      <c r="F66">
        <v>399</v>
      </c>
      <c r="G66">
        <v>27</v>
      </c>
      <c r="H66">
        <v>4</v>
      </c>
      <c r="I66">
        <v>365.08</v>
      </c>
      <c r="J66">
        <v>0.19</v>
      </c>
      <c r="K66">
        <v>775</v>
      </c>
      <c r="L66">
        <v>0.94</v>
      </c>
      <c r="M66">
        <v>9</v>
      </c>
      <c r="N66" s="1">
        <f t="shared" ref="N66:N129" si="19">F66/30</f>
        <v>13.3</v>
      </c>
      <c r="O66" s="1">
        <f>N66*(1+Control_Panel!$B$2)</f>
        <v>13.3</v>
      </c>
      <c r="P66" s="12">
        <f t="shared" ref="P66:P129" si="20">G66/F66</f>
        <v>6.7669172932330823E-2</v>
      </c>
      <c r="Q66" t="str" cm="1">
        <f t="array" ref="Q66">_xlfn.IFS(P66&lt;0.2,"Stable",P66&lt;=0.5,"Moderate",P66&gt;0.5,"Highly veriable")</f>
        <v>Stable</v>
      </c>
      <c r="R66" s="1">
        <f t="shared" ref="R66:R129" si="21">G66*SQRT(H66)</f>
        <v>54</v>
      </c>
      <c r="S66" s="1">
        <f t="shared" ref="S66:S129" si="22">O66+H66+R66</f>
        <v>71.3</v>
      </c>
      <c r="T66" s="1">
        <f t="shared" ref="T66:T129" si="23">E66-S66</f>
        <v>171.7</v>
      </c>
      <c r="U66" t="str">
        <f t="shared" ref="U66:U129" si="24">IF(T66&lt;0," Need to Order",
   IF(T66&lt;=R66," Risk",
      " Safe"))</f>
        <v xml:space="preserve"> Safe</v>
      </c>
      <c r="V66">
        <f t="shared" ref="V66:V129" si="25">F66*12</f>
        <v>4788</v>
      </c>
      <c r="W66" s="9">
        <f t="shared" ref="W66:W129" si="26">V66*I66</f>
        <v>1748003.04</v>
      </c>
      <c r="Y66">
        <f t="shared" si="8"/>
        <v>3.9190263016404174E-3</v>
      </c>
      <c r="Z66" s="12">
        <f t="shared" si="18"/>
        <v>0.31527847683512095</v>
      </c>
      <c r="AA66" t="str">
        <f t="shared" si="9"/>
        <v>A</v>
      </c>
      <c r="AB66" t="str">
        <f t="shared" si="10"/>
        <v>X</v>
      </c>
      <c r="AC66" t="str">
        <f t="shared" si="11"/>
        <v>AX</v>
      </c>
      <c r="AD66" t="str">
        <f t="shared" si="12"/>
        <v>Strict Control</v>
      </c>
      <c r="AE66" t="str">
        <f t="shared" si="13"/>
        <v>Daily</v>
      </c>
      <c r="AF66" t="str">
        <f t="shared" si="14"/>
        <v>Strict Replenishment</v>
      </c>
      <c r="AG66" t="str">
        <f t="shared" si="15"/>
        <v>Low</v>
      </c>
      <c r="AH66">
        <f t="shared" si="16"/>
        <v>60</v>
      </c>
      <c r="AI66" t="str">
        <f t="shared" si="17"/>
        <v>High</v>
      </c>
    </row>
    <row r="67" spans="1:35">
      <c r="A67" t="s">
        <v>509</v>
      </c>
      <c r="B67" t="s">
        <v>38</v>
      </c>
      <c r="C67" t="s">
        <v>22</v>
      </c>
      <c r="D67" t="s">
        <v>41</v>
      </c>
      <c r="E67">
        <v>435</v>
      </c>
      <c r="F67">
        <v>340</v>
      </c>
      <c r="G67">
        <v>88</v>
      </c>
      <c r="H67">
        <v>7</v>
      </c>
      <c r="I67">
        <v>427.75</v>
      </c>
      <c r="J67">
        <v>0.06</v>
      </c>
      <c r="K67">
        <v>929</v>
      </c>
      <c r="L67">
        <v>0.71</v>
      </c>
      <c r="M67">
        <v>3</v>
      </c>
      <c r="N67" s="1">
        <f t="shared" si="19"/>
        <v>11.333333333333334</v>
      </c>
      <c r="O67" s="1">
        <f>N67*(1+Control_Panel!$B$2)</f>
        <v>11.333333333333334</v>
      </c>
      <c r="P67" s="12">
        <f t="shared" si="20"/>
        <v>0.25882352941176473</v>
      </c>
      <c r="Q67" t="str" cm="1">
        <f t="array" ref="Q67">_xlfn.IFS(P67&lt;0.2,"Stable",P67&lt;=0.5,"Moderate",P67&gt;0.5,"Highly veriable")</f>
        <v>Moderate</v>
      </c>
      <c r="R67" s="1">
        <f t="shared" si="21"/>
        <v>232.82611537368399</v>
      </c>
      <c r="S67" s="1">
        <f t="shared" si="22"/>
        <v>251.15944870701733</v>
      </c>
      <c r="T67" s="1">
        <f t="shared" si="23"/>
        <v>183.84055129298267</v>
      </c>
      <c r="U67" t="str">
        <f t="shared" si="24"/>
        <v xml:space="preserve"> Risk</v>
      </c>
      <c r="V67">
        <f t="shared" si="25"/>
        <v>4080</v>
      </c>
      <c r="W67" s="9">
        <f t="shared" si="26"/>
        <v>1745220</v>
      </c>
      <c r="Y67">
        <f t="shared" ref="Y67:Y130" si="27">W67/$X$3</f>
        <v>3.9127867204103318E-3</v>
      </c>
      <c r="Z67" s="12">
        <f t="shared" si="18"/>
        <v>0.31919126355553129</v>
      </c>
      <c r="AA67" t="str">
        <f t="shared" ref="AA67:AA130" si="28">IF(Z67&lt;=80%,"A",IF(Z67&lt;=95%,"B","C"))</f>
        <v>A</v>
      </c>
      <c r="AB67" t="str">
        <f t="shared" ref="AB67:AB130" si="29">IF(P67&lt;=20%,"X",IF(P67&lt;=50%,"Y","Z"))</f>
        <v>Y</v>
      </c>
      <c r="AC67" t="str">
        <f t="shared" ref="AC67:AC130" si="30">AA67&amp;AB67</f>
        <v>AY</v>
      </c>
      <c r="AD67" t="str">
        <f t="shared" ref="AD67:AD130" si="31">IF(AC67="AX","Strict Control",
IF(AC67="AY","Frequent Monitoring",
IF(AC67="AZ","Risk-Control Strategy",
IF(AC67="BX","Standard Control",
IF(AC67="BY","Periodic Review",
IF(AC67="BZ","Risk Monitoring",
IF(AC67="CX","Simplified Bulk Control",
IF(AC67="CY","Low-Priority Monitoring",
IF(AC67="CZ","Minimal Control","Check")))))))))</f>
        <v>Frequent Monitoring</v>
      </c>
      <c r="AE67" t="str">
        <f t="shared" ref="AE67:AE130" si="32">IF(AC67="AX","Daily",
IF(AC67="AY","Every 2 Days",
IF(AC67="AZ","Daily + Manager Review",
IF(AC67="BX","Weekly",
IF(AC67="BY","Bi-Weekly",
IF(AC67="BZ","Weekly Risk Review",
IF(AC67="CX","Monthly",
IF(AC67="CY","Monthly Review",
IF(AC67="CZ","Quarterly","Check")))))))))</f>
        <v>Every 2 Days</v>
      </c>
      <c r="AF67" t="str">
        <f t="shared" ref="AF67:AF130" si="33">IF(AC67="AX","Strict Replenishment",
IF(AC67="AY","Frequent Monitoring",
IF(AC67="AZ","Increase Safety Stock",
IF(AC67="BX","Standard Replenishment",
IF(AC67="BY","Periodic Review",
IF(AC67="BZ","Monitor Demand Variability",
IF(AC67="CX","Bulk Ordering",
IF(AC67="CY","Low Priority Monitoring",
IF(AC67="CZ","Reduce Inventory Exposure",
"Check")))))))))</f>
        <v>Frequent Monitoring</v>
      </c>
      <c r="AG67" t="str">
        <f t="shared" ref="AG67:AG130" si="34">IF(AC67="AZ","Critical",
IF(AC67="AY","High",
IF(AC67="BZ","Medium",
IF(U67="Need to Order","Medium",
"Low"))))</f>
        <v>High</v>
      </c>
      <c r="AH67">
        <f t="shared" ref="AH67:AH130" si="35">IF(AC67="AZ",40,
IF(AC67="AY",30,
IF(AC67="AX",20,10)))
+
IF(U67="Need to Order",30,
IF(U67="Risk",15,0))
+
IF(L67&lt;70,20,
IF(L67&lt;85,10,0))
+
IF(M67&gt;7,20,
IF(M67&gt;4,10,0))</f>
        <v>50</v>
      </c>
      <c r="AI67" t="str">
        <f t="shared" ref="AI67:AI130" si="36">IF(AH67&gt;=70,"Critical",
IF(AH67&gt;=60,"High",
IF(AH67&gt;=50,"Medium",
"Low")))</f>
        <v>Medium</v>
      </c>
    </row>
    <row r="68" spans="1:35">
      <c r="A68" t="s">
        <v>427</v>
      </c>
      <c r="B68" t="s">
        <v>36</v>
      </c>
      <c r="C68" t="s">
        <v>15</v>
      </c>
      <c r="D68" t="s">
        <v>41</v>
      </c>
      <c r="E68">
        <v>608</v>
      </c>
      <c r="F68">
        <v>313</v>
      </c>
      <c r="G68">
        <v>21</v>
      </c>
      <c r="H68">
        <v>7</v>
      </c>
      <c r="I68">
        <v>456.94</v>
      </c>
      <c r="J68">
        <v>0.09</v>
      </c>
      <c r="K68">
        <v>749</v>
      </c>
      <c r="L68">
        <v>0.92</v>
      </c>
      <c r="M68">
        <v>4</v>
      </c>
      <c r="N68" s="1">
        <f t="shared" si="19"/>
        <v>10.433333333333334</v>
      </c>
      <c r="O68" s="1">
        <f>N68*(1+Control_Panel!$B$2)</f>
        <v>10.433333333333334</v>
      </c>
      <c r="P68" s="12">
        <f t="shared" si="20"/>
        <v>6.7092651757188496E-2</v>
      </c>
      <c r="Q68" t="str" cm="1">
        <f t="array" ref="Q68">_xlfn.IFS(P68&lt;0.2,"Stable",P68&lt;=0.5,"Moderate",P68&gt;0.5,"Highly veriable")</f>
        <v>Stable</v>
      </c>
      <c r="R68" s="1">
        <f t="shared" si="21"/>
        <v>55.560777532356404</v>
      </c>
      <c r="S68" s="1">
        <f t="shared" si="22"/>
        <v>72.994110865689734</v>
      </c>
      <c r="T68" s="1">
        <f t="shared" si="23"/>
        <v>535.00588913431022</v>
      </c>
      <c r="U68" t="str">
        <f t="shared" si="24"/>
        <v xml:space="preserve"> Safe</v>
      </c>
      <c r="V68">
        <f t="shared" si="25"/>
        <v>3756</v>
      </c>
      <c r="W68" s="9">
        <f t="shared" si="26"/>
        <v>1716266.64</v>
      </c>
      <c r="Y68">
        <f t="shared" si="27"/>
        <v>3.8478732295500044E-3</v>
      </c>
      <c r="Z68" s="12">
        <f t="shared" ref="Z68:Z131" si="37">Z67+Y68</f>
        <v>0.32303913678508128</v>
      </c>
      <c r="AA68" t="str">
        <f t="shared" si="28"/>
        <v>A</v>
      </c>
      <c r="AB68" t="str">
        <f t="shared" si="29"/>
        <v>X</v>
      </c>
      <c r="AC68" t="str">
        <f t="shared" si="30"/>
        <v>AX</v>
      </c>
      <c r="AD68" t="str">
        <f t="shared" si="31"/>
        <v>Strict Control</v>
      </c>
      <c r="AE68" t="str">
        <f t="shared" si="32"/>
        <v>Daily</v>
      </c>
      <c r="AF68" t="str">
        <f t="shared" si="33"/>
        <v>Strict Replenishment</v>
      </c>
      <c r="AG68" t="str">
        <f t="shared" si="34"/>
        <v>Low</v>
      </c>
      <c r="AH68">
        <f t="shared" si="35"/>
        <v>40</v>
      </c>
      <c r="AI68" t="str">
        <f t="shared" si="36"/>
        <v>Low</v>
      </c>
    </row>
    <row r="69" spans="1:35">
      <c r="A69" t="s">
        <v>370</v>
      </c>
      <c r="B69" t="s">
        <v>29</v>
      </c>
      <c r="C69" t="s">
        <v>22</v>
      </c>
      <c r="D69" t="s">
        <v>41</v>
      </c>
      <c r="E69">
        <v>426</v>
      </c>
      <c r="F69">
        <v>337</v>
      </c>
      <c r="G69">
        <v>16</v>
      </c>
      <c r="H69">
        <v>18</v>
      </c>
      <c r="I69">
        <v>416.76</v>
      </c>
      <c r="J69">
        <v>7.0000000000000007E-2</v>
      </c>
      <c r="K69">
        <v>789</v>
      </c>
      <c r="L69">
        <v>0.87</v>
      </c>
      <c r="M69">
        <v>9</v>
      </c>
      <c r="N69" s="1">
        <f t="shared" si="19"/>
        <v>11.233333333333333</v>
      </c>
      <c r="O69" s="1">
        <f>N69*(1+Control_Panel!$B$2)</f>
        <v>11.233333333333333</v>
      </c>
      <c r="P69" s="12">
        <f t="shared" si="20"/>
        <v>4.7477744807121663E-2</v>
      </c>
      <c r="Q69" t="str" cm="1">
        <f t="array" ref="Q69">_xlfn.IFS(P69&lt;0.2,"Stable",P69&lt;=0.5,"Moderate",P69&gt;0.5,"Highly veriable")</f>
        <v>Stable</v>
      </c>
      <c r="R69" s="1">
        <f t="shared" si="21"/>
        <v>67.882250993908556</v>
      </c>
      <c r="S69" s="1">
        <f t="shared" si="22"/>
        <v>97.115584327241891</v>
      </c>
      <c r="T69" s="1">
        <f t="shared" si="23"/>
        <v>328.88441567275811</v>
      </c>
      <c r="U69" t="str">
        <f t="shared" si="24"/>
        <v xml:space="preserve"> Safe</v>
      </c>
      <c r="V69">
        <f t="shared" si="25"/>
        <v>4044</v>
      </c>
      <c r="W69" s="9">
        <f t="shared" si="26"/>
        <v>1685377.44</v>
      </c>
      <c r="Y69">
        <f t="shared" si="27"/>
        <v>3.7786195815491226E-3</v>
      </c>
      <c r="Z69" s="12">
        <f t="shared" si="37"/>
        <v>0.32681775636663041</v>
      </c>
      <c r="AA69" t="str">
        <f t="shared" si="28"/>
        <v>A</v>
      </c>
      <c r="AB69" t="str">
        <f t="shared" si="29"/>
        <v>X</v>
      </c>
      <c r="AC69" t="str">
        <f t="shared" si="30"/>
        <v>AX</v>
      </c>
      <c r="AD69" t="str">
        <f t="shared" si="31"/>
        <v>Strict Control</v>
      </c>
      <c r="AE69" t="str">
        <f t="shared" si="32"/>
        <v>Daily</v>
      </c>
      <c r="AF69" t="str">
        <f t="shared" si="33"/>
        <v>Strict Replenishment</v>
      </c>
      <c r="AG69" t="str">
        <f t="shared" si="34"/>
        <v>Low</v>
      </c>
      <c r="AH69">
        <f t="shared" si="35"/>
        <v>60</v>
      </c>
      <c r="AI69" t="str">
        <f t="shared" si="36"/>
        <v>High</v>
      </c>
    </row>
    <row r="70" spans="1:35">
      <c r="A70" t="s">
        <v>211</v>
      </c>
      <c r="B70" t="s">
        <v>38</v>
      </c>
      <c r="C70" t="s">
        <v>15</v>
      </c>
      <c r="D70" t="s">
        <v>25</v>
      </c>
      <c r="E70">
        <v>660</v>
      </c>
      <c r="F70">
        <v>362</v>
      </c>
      <c r="G70">
        <v>34</v>
      </c>
      <c r="H70">
        <v>5</v>
      </c>
      <c r="I70">
        <v>387.93</v>
      </c>
      <c r="J70">
        <v>0.23</v>
      </c>
      <c r="K70">
        <v>241</v>
      </c>
      <c r="L70">
        <v>0.78</v>
      </c>
      <c r="M70">
        <v>7</v>
      </c>
      <c r="N70" s="1">
        <f t="shared" si="19"/>
        <v>12.066666666666666</v>
      </c>
      <c r="O70" s="1">
        <f>N70*(1+Control_Panel!$B$2)</f>
        <v>12.066666666666666</v>
      </c>
      <c r="P70" s="12">
        <f t="shared" si="20"/>
        <v>9.3922651933701654E-2</v>
      </c>
      <c r="Q70" t="str" cm="1">
        <f t="array" ref="Q70">_xlfn.IFS(P70&lt;0.2,"Stable",P70&lt;=0.5,"Moderate",P70&gt;0.5,"Highly veriable")</f>
        <v>Stable</v>
      </c>
      <c r="R70" s="1">
        <f t="shared" si="21"/>
        <v>76.026311234992846</v>
      </c>
      <c r="S70" s="1">
        <f t="shared" si="22"/>
        <v>93.092977901659509</v>
      </c>
      <c r="T70" s="1">
        <f t="shared" si="23"/>
        <v>566.90702209834046</v>
      </c>
      <c r="U70" t="str">
        <f t="shared" si="24"/>
        <v xml:space="preserve"> Safe</v>
      </c>
      <c r="V70">
        <f t="shared" si="25"/>
        <v>4344</v>
      </c>
      <c r="W70" s="9">
        <f t="shared" si="26"/>
        <v>1685167.92</v>
      </c>
      <c r="Y70">
        <f t="shared" si="27"/>
        <v>3.7781498372912868E-3</v>
      </c>
      <c r="Z70" s="12">
        <f t="shared" si="37"/>
        <v>0.33059590620392171</v>
      </c>
      <c r="AA70" t="str">
        <f t="shared" si="28"/>
        <v>A</v>
      </c>
      <c r="AB70" t="str">
        <f t="shared" si="29"/>
        <v>X</v>
      </c>
      <c r="AC70" t="str">
        <f t="shared" si="30"/>
        <v>AX</v>
      </c>
      <c r="AD70" t="str">
        <f t="shared" si="31"/>
        <v>Strict Control</v>
      </c>
      <c r="AE70" t="str">
        <f t="shared" si="32"/>
        <v>Daily</v>
      </c>
      <c r="AF70" t="str">
        <f t="shared" si="33"/>
        <v>Strict Replenishment</v>
      </c>
      <c r="AG70" t="str">
        <f t="shared" si="34"/>
        <v>Low</v>
      </c>
      <c r="AH70">
        <f t="shared" si="35"/>
        <v>50</v>
      </c>
      <c r="AI70" t="str">
        <f t="shared" si="36"/>
        <v>Medium</v>
      </c>
    </row>
    <row r="71" spans="1:35">
      <c r="A71" t="s">
        <v>424</v>
      </c>
      <c r="B71" t="s">
        <v>36</v>
      </c>
      <c r="C71" t="s">
        <v>15</v>
      </c>
      <c r="D71" t="s">
        <v>41</v>
      </c>
      <c r="E71">
        <v>272</v>
      </c>
      <c r="F71">
        <v>461</v>
      </c>
      <c r="G71">
        <v>70</v>
      </c>
      <c r="H71">
        <v>8</v>
      </c>
      <c r="I71">
        <v>301.88</v>
      </c>
      <c r="J71">
        <v>0.22</v>
      </c>
      <c r="K71">
        <v>112</v>
      </c>
      <c r="L71">
        <v>0.85</v>
      </c>
      <c r="M71">
        <v>10</v>
      </c>
      <c r="N71" s="1">
        <f t="shared" si="19"/>
        <v>15.366666666666667</v>
      </c>
      <c r="O71" s="1">
        <f>N71*(1+Control_Panel!$B$2)</f>
        <v>15.366666666666667</v>
      </c>
      <c r="P71" s="12">
        <f t="shared" si="20"/>
        <v>0.15184381778741865</v>
      </c>
      <c r="Q71" t="str" cm="1">
        <f t="array" ref="Q71">_xlfn.IFS(P71&lt;0.2,"Stable",P71&lt;=0.5,"Moderate",P71&gt;0.5,"Highly veriable")</f>
        <v>Stable</v>
      </c>
      <c r="R71" s="1">
        <f t="shared" si="21"/>
        <v>197.98989873223331</v>
      </c>
      <c r="S71" s="1">
        <f t="shared" si="22"/>
        <v>221.35656539889999</v>
      </c>
      <c r="T71" s="1">
        <f t="shared" si="23"/>
        <v>50.643434601100012</v>
      </c>
      <c r="U71" t="str">
        <f t="shared" si="24"/>
        <v xml:space="preserve"> Risk</v>
      </c>
      <c r="V71">
        <f t="shared" si="25"/>
        <v>5532</v>
      </c>
      <c r="W71" s="9">
        <f t="shared" si="26"/>
        <v>1670000.16</v>
      </c>
      <c r="Y71">
        <f t="shared" si="27"/>
        <v>3.7441436891229351E-3</v>
      </c>
      <c r="Z71" s="12">
        <f t="shared" si="37"/>
        <v>0.33434004989304467</v>
      </c>
      <c r="AA71" t="str">
        <f t="shared" si="28"/>
        <v>A</v>
      </c>
      <c r="AB71" t="str">
        <f t="shared" si="29"/>
        <v>X</v>
      </c>
      <c r="AC71" t="str">
        <f t="shared" si="30"/>
        <v>AX</v>
      </c>
      <c r="AD71" t="str">
        <f t="shared" si="31"/>
        <v>Strict Control</v>
      </c>
      <c r="AE71" t="str">
        <f t="shared" si="32"/>
        <v>Daily</v>
      </c>
      <c r="AF71" t="str">
        <f t="shared" si="33"/>
        <v>Strict Replenishment</v>
      </c>
      <c r="AG71" t="str">
        <f t="shared" si="34"/>
        <v>Low</v>
      </c>
      <c r="AH71">
        <f t="shared" si="35"/>
        <v>60</v>
      </c>
      <c r="AI71" t="str">
        <f t="shared" si="36"/>
        <v>High</v>
      </c>
    </row>
    <row r="72" spans="1:35">
      <c r="A72" t="s">
        <v>33</v>
      </c>
      <c r="B72" t="s">
        <v>34</v>
      </c>
      <c r="C72" t="s">
        <v>15</v>
      </c>
      <c r="D72" t="s">
        <v>16</v>
      </c>
      <c r="E72">
        <v>30</v>
      </c>
      <c r="F72">
        <v>440</v>
      </c>
      <c r="G72">
        <v>41</v>
      </c>
      <c r="H72">
        <v>18</v>
      </c>
      <c r="I72">
        <v>313.87</v>
      </c>
      <c r="J72">
        <v>0.11</v>
      </c>
      <c r="K72">
        <v>235</v>
      </c>
      <c r="L72">
        <v>0.98</v>
      </c>
      <c r="M72">
        <v>1</v>
      </c>
      <c r="N72" s="1">
        <f t="shared" si="19"/>
        <v>14.666666666666666</v>
      </c>
      <c r="O72" s="1">
        <f>N72*(1+Control_Panel!$B$2)</f>
        <v>14.666666666666666</v>
      </c>
      <c r="P72" s="12">
        <f t="shared" si="20"/>
        <v>9.3181818181818185E-2</v>
      </c>
      <c r="Q72" t="str" cm="1">
        <f t="array" ref="Q72">_xlfn.IFS(P72&lt;0.2,"Stable",P72&lt;=0.5,"Moderate",P72&gt;0.5,"Highly veriable")</f>
        <v>Stable</v>
      </c>
      <c r="R72" s="1">
        <f t="shared" si="21"/>
        <v>173.94826817189067</v>
      </c>
      <c r="S72" s="1">
        <f t="shared" si="22"/>
        <v>206.61493483855733</v>
      </c>
      <c r="T72" s="1">
        <f t="shared" si="23"/>
        <v>-176.61493483855733</v>
      </c>
      <c r="U72" t="str">
        <f t="shared" si="24"/>
        <v xml:space="preserve"> Need to Order</v>
      </c>
      <c r="V72">
        <f t="shared" si="25"/>
        <v>5280</v>
      </c>
      <c r="W72" s="9">
        <f t="shared" si="26"/>
        <v>1657233.6</v>
      </c>
      <c r="Y72">
        <f t="shared" si="27"/>
        <v>3.7155210361431842E-3</v>
      </c>
      <c r="Z72" s="12">
        <f t="shared" si="37"/>
        <v>0.33805557092918787</v>
      </c>
      <c r="AA72" t="str">
        <f t="shared" si="28"/>
        <v>A</v>
      </c>
      <c r="AB72" t="str">
        <f t="shared" si="29"/>
        <v>X</v>
      </c>
      <c r="AC72" t="str">
        <f t="shared" si="30"/>
        <v>AX</v>
      </c>
      <c r="AD72" t="str">
        <f t="shared" si="31"/>
        <v>Strict Control</v>
      </c>
      <c r="AE72" t="str">
        <f t="shared" si="32"/>
        <v>Daily</v>
      </c>
      <c r="AF72" t="str">
        <f t="shared" si="33"/>
        <v>Strict Replenishment</v>
      </c>
      <c r="AG72" t="str">
        <f t="shared" si="34"/>
        <v>Low</v>
      </c>
      <c r="AH72">
        <f t="shared" si="35"/>
        <v>40</v>
      </c>
      <c r="AI72" t="str">
        <f t="shared" si="36"/>
        <v>Low</v>
      </c>
    </row>
    <row r="73" spans="1:35">
      <c r="A73" t="s">
        <v>520</v>
      </c>
      <c r="B73" t="s">
        <v>18</v>
      </c>
      <c r="C73" t="s">
        <v>22</v>
      </c>
      <c r="D73" t="s">
        <v>41</v>
      </c>
      <c r="E73">
        <v>773</v>
      </c>
      <c r="F73">
        <v>327</v>
      </c>
      <c r="G73">
        <v>57</v>
      </c>
      <c r="H73">
        <v>30</v>
      </c>
      <c r="I73">
        <v>421.31</v>
      </c>
      <c r="J73">
        <v>0.16</v>
      </c>
      <c r="K73">
        <v>663</v>
      </c>
      <c r="L73">
        <v>0.98</v>
      </c>
      <c r="M73">
        <v>3</v>
      </c>
      <c r="N73" s="1">
        <f t="shared" si="19"/>
        <v>10.9</v>
      </c>
      <c r="O73" s="1">
        <f>N73*(1+Control_Panel!$B$2)</f>
        <v>10.9</v>
      </c>
      <c r="P73" s="12">
        <f t="shared" si="20"/>
        <v>0.1743119266055046</v>
      </c>
      <c r="Q73" t="str" cm="1">
        <f t="array" ref="Q73">_xlfn.IFS(P73&lt;0.2,"Stable",P73&lt;=0.5,"Moderate",P73&gt;0.5,"Highly veriable")</f>
        <v>Stable</v>
      </c>
      <c r="R73" s="1">
        <f t="shared" si="21"/>
        <v>312.20185777794467</v>
      </c>
      <c r="S73" s="1">
        <f t="shared" si="22"/>
        <v>353.10185777794464</v>
      </c>
      <c r="T73" s="1">
        <f t="shared" si="23"/>
        <v>419.89814222205536</v>
      </c>
      <c r="U73" t="str">
        <f t="shared" si="24"/>
        <v xml:space="preserve"> Safe</v>
      </c>
      <c r="V73">
        <f t="shared" si="25"/>
        <v>3924</v>
      </c>
      <c r="W73" s="9">
        <f t="shared" si="26"/>
        <v>1653220.44</v>
      </c>
      <c r="Y73">
        <f t="shared" si="27"/>
        <v>3.706523523419927E-3</v>
      </c>
      <c r="Z73" s="12">
        <f t="shared" si="37"/>
        <v>0.3417620944526078</v>
      </c>
      <c r="AA73" t="str">
        <f t="shared" si="28"/>
        <v>A</v>
      </c>
      <c r="AB73" t="str">
        <f t="shared" si="29"/>
        <v>X</v>
      </c>
      <c r="AC73" t="str">
        <f t="shared" si="30"/>
        <v>AX</v>
      </c>
      <c r="AD73" t="str">
        <f t="shared" si="31"/>
        <v>Strict Control</v>
      </c>
      <c r="AE73" t="str">
        <f t="shared" si="32"/>
        <v>Daily</v>
      </c>
      <c r="AF73" t="str">
        <f t="shared" si="33"/>
        <v>Strict Replenishment</v>
      </c>
      <c r="AG73" t="str">
        <f t="shared" si="34"/>
        <v>Low</v>
      </c>
      <c r="AH73">
        <f t="shared" si="35"/>
        <v>40</v>
      </c>
      <c r="AI73" t="str">
        <f t="shared" si="36"/>
        <v>Low</v>
      </c>
    </row>
    <row r="74" spans="1:35">
      <c r="A74" t="s">
        <v>165</v>
      </c>
      <c r="B74" t="s">
        <v>36</v>
      </c>
      <c r="C74" t="s">
        <v>22</v>
      </c>
      <c r="D74" t="s">
        <v>41</v>
      </c>
      <c r="E74">
        <v>193</v>
      </c>
      <c r="F74">
        <v>477</v>
      </c>
      <c r="G74">
        <v>29</v>
      </c>
      <c r="H74">
        <v>1</v>
      </c>
      <c r="I74">
        <v>288.32</v>
      </c>
      <c r="J74">
        <v>0.06</v>
      </c>
      <c r="K74">
        <v>273</v>
      </c>
      <c r="L74">
        <v>0.82</v>
      </c>
      <c r="M74">
        <v>9</v>
      </c>
      <c r="N74" s="1">
        <f t="shared" si="19"/>
        <v>15.9</v>
      </c>
      <c r="O74" s="1">
        <f>N74*(1+Control_Panel!$B$2)</f>
        <v>15.9</v>
      </c>
      <c r="P74" s="12">
        <f t="shared" si="20"/>
        <v>6.0796645702306078E-2</v>
      </c>
      <c r="Q74" t="str" cm="1">
        <f t="array" ref="Q74">_xlfn.IFS(P74&lt;0.2,"Stable",P74&lt;=0.5,"Moderate",P74&gt;0.5,"Highly veriable")</f>
        <v>Stable</v>
      </c>
      <c r="R74" s="1">
        <f t="shared" si="21"/>
        <v>29</v>
      </c>
      <c r="S74" s="1">
        <f t="shared" si="22"/>
        <v>45.9</v>
      </c>
      <c r="T74" s="1">
        <f t="shared" si="23"/>
        <v>147.1</v>
      </c>
      <c r="U74" t="str">
        <f t="shared" si="24"/>
        <v xml:space="preserve"> Safe</v>
      </c>
      <c r="V74">
        <f t="shared" si="25"/>
        <v>5724</v>
      </c>
      <c r="W74" s="9">
        <f t="shared" si="26"/>
        <v>1650343.68</v>
      </c>
      <c r="Y74">
        <f t="shared" si="27"/>
        <v>3.7000738217629397E-3</v>
      </c>
      <c r="Z74" s="12">
        <f t="shared" si="37"/>
        <v>0.34546216827437076</v>
      </c>
      <c r="AA74" t="str">
        <f t="shared" si="28"/>
        <v>A</v>
      </c>
      <c r="AB74" t="str">
        <f t="shared" si="29"/>
        <v>X</v>
      </c>
      <c r="AC74" t="str">
        <f t="shared" si="30"/>
        <v>AX</v>
      </c>
      <c r="AD74" t="str">
        <f t="shared" si="31"/>
        <v>Strict Control</v>
      </c>
      <c r="AE74" t="str">
        <f t="shared" si="32"/>
        <v>Daily</v>
      </c>
      <c r="AF74" t="str">
        <f t="shared" si="33"/>
        <v>Strict Replenishment</v>
      </c>
      <c r="AG74" t="str">
        <f t="shared" si="34"/>
        <v>Low</v>
      </c>
      <c r="AH74">
        <f t="shared" si="35"/>
        <v>60</v>
      </c>
      <c r="AI74" t="str">
        <f t="shared" si="36"/>
        <v>High</v>
      </c>
    </row>
    <row r="75" spans="1:35">
      <c r="A75" t="s">
        <v>478</v>
      </c>
      <c r="B75" t="s">
        <v>34</v>
      </c>
      <c r="C75" t="s">
        <v>15</v>
      </c>
      <c r="D75" t="s">
        <v>16</v>
      </c>
      <c r="E75">
        <v>117</v>
      </c>
      <c r="F75">
        <v>378</v>
      </c>
      <c r="G75">
        <v>67</v>
      </c>
      <c r="H75">
        <v>19</v>
      </c>
      <c r="I75">
        <v>361.31</v>
      </c>
      <c r="J75">
        <v>0.19</v>
      </c>
      <c r="K75">
        <v>107</v>
      </c>
      <c r="L75">
        <v>0.86</v>
      </c>
      <c r="M75">
        <v>10</v>
      </c>
      <c r="N75" s="1">
        <f t="shared" si="19"/>
        <v>12.6</v>
      </c>
      <c r="O75" s="1">
        <f>N75*(1+Control_Panel!$B$2)</f>
        <v>12.6</v>
      </c>
      <c r="P75" s="12">
        <f t="shared" si="20"/>
        <v>0.17724867724867724</v>
      </c>
      <c r="Q75" t="str" cm="1">
        <f t="array" ref="Q75">_xlfn.IFS(P75&lt;0.2,"Stable",P75&lt;=0.5,"Moderate",P75&gt;0.5,"Highly veriable")</f>
        <v>Stable</v>
      </c>
      <c r="R75" s="1">
        <f t="shared" si="21"/>
        <v>292.04622921722518</v>
      </c>
      <c r="S75" s="1">
        <f t="shared" si="22"/>
        <v>323.6462292172252</v>
      </c>
      <c r="T75" s="1">
        <f t="shared" si="23"/>
        <v>-206.6462292172252</v>
      </c>
      <c r="U75" t="str">
        <f t="shared" si="24"/>
        <v xml:space="preserve"> Need to Order</v>
      </c>
      <c r="V75">
        <f t="shared" si="25"/>
        <v>4536</v>
      </c>
      <c r="W75" s="9">
        <f t="shared" si="26"/>
        <v>1638902.16</v>
      </c>
      <c r="Y75">
        <f t="shared" si="27"/>
        <v>3.6744219111056534E-3</v>
      </c>
      <c r="Z75" s="12">
        <f t="shared" si="37"/>
        <v>0.34913659018547644</v>
      </c>
      <c r="AA75" t="str">
        <f t="shared" si="28"/>
        <v>A</v>
      </c>
      <c r="AB75" t="str">
        <f t="shared" si="29"/>
        <v>X</v>
      </c>
      <c r="AC75" t="str">
        <f t="shared" si="30"/>
        <v>AX</v>
      </c>
      <c r="AD75" t="str">
        <f t="shared" si="31"/>
        <v>Strict Control</v>
      </c>
      <c r="AE75" t="str">
        <f t="shared" si="32"/>
        <v>Daily</v>
      </c>
      <c r="AF75" t="str">
        <f t="shared" si="33"/>
        <v>Strict Replenishment</v>
      </c>
      <c r="AG75" t="str">
        <f t="shared" si="34"/>
        <v>Low</v>
      </c>
      <c r="AH75">
        <f t="shared" si="35"/>
        <v>60</v>
      </c>
      <c r="AI75" t="str">
        <f t="shared" si="36"/>
        <v>High</v>
      </c>
    </row>
    <row r="76" spans="1:35">
      <c r="A76" t="s">
        <v>13</v>
      </c>
      <c r="B76" t="s">
        <v>14</v>
      </c>
      <c r="C76" t="s">
        <v>15</v>
      </c>
      <c r="D76" t="s">
        <v>16</v>
      </c>
      <c r="E76">
        <v>640</v>
      </c>
      <c r="F76">
        <v>314</v>
      </c>
      <c r="G76">
        <v>89</v>
      </c>
      <c r="H76">
        <v>25</v>
      </c>
      <c r="I76">
        <v>434.75</v>
      </c>
      <c r="J76">
        <v>0.17</v>
      </c>
      <c r="K76">
        <v>372</v>
      </c>
      <c r="L76">
        <v>0.95</v>
      </c>
      <c r="M76">
        <v>9</v>
      </c>
      <c r="N76" s="1">
        <f t="shared" si="19"/>
        <v>10.466666666666667</v>
      </c>
      <c r="O76" s="1">
        <f>N76*(1+Control_Panel!$B$2)</f>
        <v>10.466666666666667</v>
      </c>
      <c r="P76" s="12">
        <f t="shared" si="20"/>
        <v>0.28343949044585987</v>
      </c>
      <c r="Q76" t="str" cm="1">
        <f t="array" ref="Q76">_xlfn.IFS(P76&lt;0.2,"Stable",P76&lt;=0.5,"Moderate",P76&gt;0.5,"Highly veriable")</f>
        <v>Moderate</v>
      </c>
      <c r="R76" s="1">
        <f t="shared" si="21"/>
        <v>445</v>
      </c>
      <c r="S76" s="1">
        <f t="shared" si="22"/>
        <v>480.4666666666667</v>
      </c>
      <c r="T76" s="1">
        <f t="shared" si="23"/>
        <v>159.5333333333333</v>
      </c>
      <c r="U76" t="str">
        <f t="shared" si="24"/>
        <v xml:space="preserve"> Risk</v>
      </c>
      <c r="V76">
        <f t="shared" si="25"/>
        <v>3768</v>
      </c>
      <c r="W76" s="9">
        <f t="shared" si="26"/>
        <v>1638138</v>
      </c>
      <c r="Y76">
        <f t="shared" si="27"/>
        <v>3.6727086628617249E-3</v>
      </c>
      <c r="Z76" s="12">
        <f t="shared" si="37"/>
        <v>0.35280929884833817</v>
      </c>
      <c r="AA76" t="str">
        <f t="shared" si="28"/>
        <v>A</v>
      </c>
      <c r="AB76" t="str">
        <f t="shared" si="29"/>
        <v>Y</v>
      </c>
      <c r="AC76" t="str">
        <f t="shared" si="30"/>
        <v>AY</v>
      </c>
      <c r="AD76" t="str">
        <f t="shared" si="31"/>
        <v>Frequent Monitoring</v>
      </c>
      <c r="AE76" t="str">
        <f t="shared" si="32"/>
        <v>Every 2 Days</v>
      </c>
      <c r="AF76" t="str">
        <f t="shared" si="33"/>
        <v>Frequent Monitoring</v>
      </c>
      <c r="AG76" t="str">
        <f t="shared" si="34"/>
        <v>High</v>
      </c>
      <c r="AH76">
        <f t="shared" si="35"/>
        <v>70</v>
      </c>
      <c r="AI76" t="str">
        <f t="shared" si="36"/>
        <v>Critical</v>
      </c>
    </row>
    <row r="77" spans="1:35">
      <c r="A77" t="s">
        <v>267</v>
      </c>
      <c r="B77" t="s">
        <v>14</v>
      </c>
      <c r="C77" t="s">
        <v>15</v>
      </c>
      <c r="D77" t="s">
        <v>23</v>
      </c>
      <c r="E77">
        <v>589</v>
      </c>
      <c r="F77">
        <v>417</v>
      </c>
      <c r="G77">
        <v>23</v>
      </c>
      <c r="H77">
        <v>30</v>
      </c>
      <c r="I77">
        <v>326.60000000000002</v>
      </c>
      <c r="J77">
        <v>0.21</v>
      </c>
      <c r="K77">
        <v>887</v>
      </c>
      <c r="L77">
        <v>0.73</v>
      </c>
      <c r="M77">
        <v>2</v>
      </c>
      <c r="N77" s="1">
        <f t="shared" si="19"/>
        <v>13.9</v>
      </c>
      <c r="O77" s="1">
        <f>N77*(1+Control_Panel!$B$2)</f>
        <v>13.9</v>
      </c>
      <c r="P77" s="12">
        <f t="shared" si="20"/>
        <v>5.5155875299760189E-2</v>
      </c>
      <c r="Q77" t="str" cm="1">
        <f t="array" ref="Q77">_xlfn.IFS(P77&lt;0.2,"Stable",P77&lt;=0.5,"Moderate",P77&gt;0.5,"Highly veriable")</f>
        <v>Stable</v>
      </c>
      <c r="R77" s="1">
        <f t="shared" si="21"/>
        <v>125.97618822618821</v>
      </c>
      <c r="S77" s="1">
        <f t="shared" si="22"/>
        <v>169.87618822618822</v>
      </c>
      <c r="T77" s="1">
        <f t="shared" si="23"/>
        <v>419.12381177381178</v>
      </c>
      <c r="U77" t="str">
        <f t="shared" si="24"/>
        <v xml:space="preserve"> Safe</v>
      </c>
      <c r="V77">
        <f t="shared" si="25"/>
        <v>5004</v>
      </c>
      <c r="W77" s="9">
        <f t="shared" si="26"/>
        <v>1634306.4000000001</v>
      </c>
      <c r="Y77">
        <f t="shared" si="27"/>
        <v>3.6641182080205453E-3</v>
      </c>
      <c r="Z77" s="12">
        <f t="shared" si="37"/>
        <v>0.35647341705635871</v>
      </c>
      <c r="AA77" t="str">
        <f t="shared" si="28"/>
        <v>A</v>
      </c>
      <c r="AB77" t="str">
        <f t="shared" si="29"/>
        <v>X</v>
      </c>
      <c r="AC77" t="str">
        <f t="shared" si="30"/>
        <v>AX</v>
      </c>
      <c r="AD77" t="str">
        <f t="shared" si="31"/>
        <v>Strict Control</v>
      </c>
      <c r="AE77" t="str">
        <f t="shared" si="32"/>
        <v>Daily</v>
      </c>
      <c r="AF77" t="str">
        <f t="shared" si="33"/>
        <v>Strict Replenishment</v>
      </c>
      <c r="AG77" t="str">
        <f t="shared" si="34"/>
        <v>Low</v>
      </c>
      <c r="AH77">
        <f t="shared" si="35"/>
        <v>40</v>
      </c>
      <c r="AI77" t="str">
        <f t="shared" si="36"/>
        <v>Low</v>
      </c>
    </row>
    <row r="78" spans="1:35">
      <c r="A78" t="s">
        <v>233</v>
      </c>
      <c r="B78" t="s">
        <v>38</v>
      </c>
      <c r="C78" t="s">
        <v>22</v>
      </c>
      <c r="D78" t="s">
        <v>25</v>
      </c>
      <c r="E78">
        <v>986</v>
      </c>
      <c r="F78">
        <v>443</v>
      </c>
      <c r="G78">
        <v>61</v>
      </c>
      <c r="H78">
        <v>29</v>
      </c>
      <c r="I78">
        <v>303.88</v>
      </c>
      <c r="J78">
        <v>0.19</v>
      </c>
      <c r="K78">
        <v>432</v>
      </c>
      <c r="L78">
        <v>0.98</v>
      </c>
      <c r="M78">
        <v>2</v>
      </c>
      <c r="N78" s="1">
        <f t="shared" si="19"/>
        <v>14.766666666666667</v>
      </c>
      <c r="O78" s="1">
        <f>N78*(1+Control_Panel!$B$2)</f>
        <v>14.766666666666667</v>
      </c>
      <c r="P78" s="12">
        <f t="shared" si="20"/>
        <v>0.13769751693002258</v>
      </c>
      <c r="Q78" t="str" cm="1">
        <f t="array" ref="Q78">_xlfn.IFS(P78&lt;0.2,"Stable",P78&lt;=0.5,"Moderate",P78&gt;0.5,"Highly veriable")</f>
        <v>Stable</v>
      </c>
      <c r="R78" s="1">
        <f t="shared" si="21"/>
        <v>328.49505323520475</v>
      </c>
      <c r="S78" s="1">
        <f t="shared" si="22"/>
        <v>372.2617199018714</v>
      </c>
      <c r="T78" s="1">
        <f t="shared" si="23"/>
        <v>613.7382800981286</v>
      </c>
      <c r="U78" t="str">
        <f t="shared" si="24"/>
        <v xml:space="preserve"> Safe</v>
      </c>
      <c r="V78">
        <f t="shared" si="25"/>
        <v>5316</v>
      </c>
      <c r="W78" s="9">
        <f t="shared" si="26"/>
        <v>1615426.08</v>
      </c>
      <c r="Y78">
        <f t="shared" si="27"/>
        <v>3.6217884929284089E-3</v>
      </c>
      <c r="Z78" s="12">
        <f t="shared" si="37"/>
        <v>0.36009520554928715</v>
      </c>
      <c r="AA78" t="str">
        <f t="shared" si="28"/>
        <v>A</v>
      </c>
      <c r="AB78" t="str">
        <f t="shared" si="29"/>
        <v>X</v>
      </c>
      <c r="AC78" t="str">
        <f t="shared" si="30"/>
        <v>AX</v>
      </c>
      <c r="AD78" t="str">
        <f t="shared" si="31"/>
        <v>Strict Control</v>
      </c>
      <c r="AE78" t="str">
        <f t="shared" si="32"/>
        <v>Daily</v>
      </c>
      <c r="AF78" t="str">
        <f t="shared" si="33"/>
        <v>Strict Replenishment</v>
      </c>
      <c r="AG78" t="str">
        <f t="shared" si="34"/>
        <v>Low</v>
      </c>
      <c r="AH78">
        <f t="shared" si="35"/>
        <v>40</v>
      </c>
      <c r="AI78" t="str">
        <f t="shared" si="36"/>
        <v>Low</v>
      </c>
    </row>
    <row r="79" spans="1:35">
      <c r="A79" t="s">
        <v>506</v>
      </c>
      <c r="B79" t="s">
        <v>36</v>
      </c>
      <c r="C79" t="s">
        <v>22</v>
      </c>
      <c r="D79" t="s">
        <v>41</v>
      </c>
      <c r="E79">
        <v>64</v>
      </c>
      <c r="F79">
        <v>320</v>
      </c>
      <c r="G79">
        <v>38</v>
      </c>
      <c r="H79">
        <v>1</v>
      </c>
      <c r="I79">
        <v>420.46</v>
      </c>
      <c r="J79">
        <v>0.06</v>
      </c>
      <c r="K79">
        <v>858</v>
      </c>
      <c r="L79">
        <v>0.82</v>
      </c>
      <c r="M79">
        <v>10</v>
      </c>
      <c r="N79" s="1">
        <f t="shared" si="19"/>
        <v>10.666666666666666</v>
      </c>
      <c r="O79" s="1">
        <f>N79*(1+Control_Panel!$B$2)</f>
        <v>10.666666666666666</v>
      </c>
      <c r="P79" s="12">
        <f t="shared" si="20"/>
        <v>0.11874999999999999</v>
      </c>
      <c r="Q79" t="str" cm="1">
        <f t="array" ref="Q79">_xlfn.IFS(P79&lt;0.2,"Stable",P79&lt;=0.5,"Moderate",P79&gt;0.5,"Highly veriable")</f>
        <v>Stable</v>
      </c>
      <c r="R79" s="1">
        <f t="shared" si="21"/>
        <v>38</v>
      </c>
      <c r="S79" s="1">
        <f t="shared" si="22"/>
        <v>49.666666666666664</v>
      </c>
      <c r="T79" s="1">
        <f t="shared" si="23"/>
        <v>14.333333333333336</v>
      </c>
      <c r="U79" t="str">
        <f t="shared" si="24"/>
        <v xml:space="preserve"> Risk</v>
      </c>
      <c r="V79">
        <f t="shared" si="25"/>
        <v>3840</v>
      </c>
      <c r="W79" s="9">
        <f t="shared" si="26"/>
        <v>1614566.3999999999</v>
      </c>
      <c r="Y79">
        <f t="shared" si="27"/>
        <v>3.6198610886539894E-3</v>
      </c>
      <c r="Z79" s="12">
        <f t="shared" si="37"/>
        <v>0.36371506663794112</v>
      </c>
      <c r="AA79" t="str">
        <f t="shared" si="28"/>
        <v>A</v>
      </c>
      <c r="AB79" t="str">
        <f t="shared" si="29"/>
        <v>X</v>
      </c>
      <c r="AC79" t="str">
        <f t="shared" si="30"/>
        <v>AX</v>
      </c>
      <c r="AD79" t="str">
        <f t="shared" si="31"/>
        <v>Strict Control</v>
      </c>
      <c r="AE79" t="str">
        <f t="shared" si="32"/>
        <v>Daily</v>
      </c>
      <c r="AF79" t="str">
        <f t="shared" si="33"/>
        <v>Strict Replenishment</v>
      </c>
      <c r="AG79" t="str">
        <f t="shared" si="34"/>
        <v>Low</v>
      </c>
      <c r="AH79">
        <f t="shared" si="35"/>
        <v>60</v>
      </c>
      <c r="AI79" t="str">
        <f t="shared" si="36"/>
        <v>High</v>
      </c>
    </row>
    <row r="80" spans="1:35">
      <c r="A80" t="s">
        <v>46</v>
      </c>
      <c r="B80" t="s">
        <v>38</v>
      </c>
      <c r="C80" t="s">
        <v>15</v>
      </c>
      <c r="D80" t="s">
        <v>19</v>
      </c>
      <c r="E80">
        <v>724</v>
      </c>
      <c r="F80">
        <v>433</v>
      </c>
      <c r="G80">
        <v>96</v>
      </c>
      <c r="H80">
        <v>4</v>
      </c>
      <c r="I80">
        <v>308.89999999999998</v>
      </c>
      <c r="J80">
        <v>0.12</v>
      </c>
      <c r="K80">
        <v>287</v>
      </c>
      <c r="L80">
        <v>0.99</v>
      </c>
      <c r="M80">
        <v>3</v>
      </c>
      <c r="N80" s="1">
        <f t="shared" si="19"/>
        <v>14.433333333333334</v>
      </c>
      <c r="O80" s="1">
        <f>N80*(1+Control_Panel!$B$2)</f>
        <v>14.433333333333334</v>
      </c>
      <c r="P80" s="12">
        <f t="shared" si="20"/>
        <v>0.22170900692840648</v>
      </c>
      <c r="Q80" t="str" cm="1">
        <f t="array" ref="Q80">_xlfn.IFS(P80&lt;0.2,"Stable",P80&lt;=0.5,"Moderate",P80&gt;0.5,"Highly veriable")</f>
        <v>Moderate</v>
      </c>
      <c r="R80" s="1">
        <f t="shared" si="21"/>
        <v>192</v>
      </c>
      <c r="S80" s="1">
        <f t="shared" si="22"/>
        <v>210.43333333333334</v>
      </c>
      <c r="T80" s="1">
        <f t="shared" si="23"/>
        <v>513.56666666666661</v>
      </c>
      <c r="U80" t="str">
        <f t="shared" si="24"/>
        <v xml:space="preserve"> Safe</v>
      </c>
      <c r="V80">
        <f t="shared" si="25"/>
        <v>5196</v>
      </c>
      <c r="W80" s="9">
        <f t="shared" si="26"/>
        <v>1605044.4</v>
      </c>
      <c r="Y80">
        <f t="shared" si="27"/>
        <v>3.5985127456647117E-3</v>
      </c>
      <c r="Z80" s="12">
        <f t="shared" si="37"/>
        <v>0.36731357938360581</v>
      </c>
      <c r="AA80" t="str">
        <f t="shared" si="28"/>
        <v>A</v>
      </c>
      <c r="AB80" t="str">
        <f t="shared" si="29"/>
        <v>Y</v>
      </c>
      <c r="AC80" t="str">
        <f t="shared" si="30"/>
        <v>AY</v>
      </c>
      <c r="AD80" t="str">
        <f t="shared" si="31"/>
        <v>Frequent Monitoring</v>
      </c>
      <c r="AE80" t="str">
        <f t="shared" si="32"/>
        <v>Every 2 Days</v>
      </c>
      <c r="AF80" t="str">
        <f t="shared" si="33"/>
        <v>Frequent Monitoring</v>
      </c>
      <c r="AG80" t="str">
        <f t="shared" si="34"/>
        <v>High</v>
      </c>
      <c r="AH80">
        <f t="shared" si="35"/>
        <v>50</v>
      </c>
      <c r="AI80" t="str">
        <f t="shared" si="36"/>
        <v>Medium</v>
      </c>
    </row>
    <row r="81" spans="1:35">
      <c r="A81" t="s">
        <v>112</v>
      </c>
      <c r="B81" t="s">
        <v>21</v>
      </c>
      <c r="C81" t="s">
        <v>15</v>
      </c>
      <c r="D81" t="s">
        <v>16</v>
      </c>
      <c r="E81">
        <v>975</v>
      </c>
      <c r="F81">
        <v>454</v>
      </c>
      <c r="G81">
        <v>65</v>
      </c>
      <c r="H81">
        <v>17</v>
      </c>
      <c r="I81">
        <v>293.58</v>
      </c>
      <c r="J81">
        <v>0.11</v>
      </c>
      <c r="K81">
        <v>676</v>
      </c>
      <c r="L81">
        <v>0.84</v>
      </c>
      <c r="M81">
        <v>6</v>
      </c>
      <c r="N81" s="1">
        <f t="shared" si="19"/>
        <v>15.133333333333333</v>
      </c>
      <c r="O81" s="1">
        <f>N81*(1+Control_Panel!$B$2)</f>
        <v>15.133333333333333</v>
      </c>
      <c r="P81" s="12">
        <f t="shared" si="20"/>
        <v>0.14317180616740088</v>
      </c>
      <c r="Q81" t="str" cm="1">
        <f t="array" ref="Q81">_xlfn.IFS(P81&lt;0.2,"Stable",P81&lt;=0.5,"Moderate",P81&gt;0.5,"Highly veriable")</f>
        <v>Stable</v>
      </c>
      <c r="R81" s="1">
        <f t="shared" si="21"/>
        <v>268.00186566514793</v>
      </c>
      <c r="S81" s="1">
        <f t="shared" si="22"/>
        <v>300.13519899848126</v>
      </c>
      <c r="T81" s="1">
        <f t="shared" si="23"/>
        <v>674.8648010015188</v>
      </c>
      <c r="U81" t="str">
        <f t="shared" si="24"/>
        <v xml:space="preserve"> Safe</v>
      </c>
      <c r="V81">
        <f t="shared" si="25"/>
        <v>5448</v>
      </c>
      <c r="W81" s="9">
        <f t="shared" si="26"/>
        <v>1599423.8399999999</v>
      </c>
      <c r="Y81">
        <f t="shared" si="27"/>
        <v>3.5859114389358926E-3</v>
      </c>
      <c r="Z81" s="12">
        <f t="shared" si="37"/>
        <v>0.3708994908225417</v>
      </c>
      <c r="AA81" t="str">
        <f t="shared" si="28"/>
        <v>A</v>
      </c>
      <c r="AB81" t="str">
        <f t="shared" si="29"/>
        <v>X</v>
      </c>
      <c r="AC81" t="str">
        <f t="shared" si="30"/>
        <v>AX</v>
      </c>
      <c r="AD81" t="str">
        <f t="shared" si="31"/>
        <v>Strict Control</v>
      </c>
      <c r="AE81" t="str">
        <f t="shared" si="32"/>
        <v>Daily</v>
      </c>
      <c r="AF81" t="str">
        <f t="shared" si="33"/>
        <v>Strict Replenishment</v>
      </c>
      <c r="AG81" t="str">
        <f t="shared" si="34"/>
        <v>Low</v>
      </c>
      <c r="AH81">
        <f t="shared" si="35"/>
        <v>50</v>
      </c>
      <c r="AI81" t="str">
        <f t="shared" si="36"/>
        <v>Medium</v>
      </c>
    </row>
    <row r="82" spans="1:35">
      <c r="A82" t="s">
        <v>508</v>
      </c>
      <c r="B82" t="s">
        <v>36</v>
      </c>
      <c r="C82" t="s">
        <v>22</v>
      </c>
      <c r="D82" t="s">
        <v>16</v>
      </c>
      <c r="E82">
        <v>380</v>
      </c>
      <c r="F82">
        <v>454</v>
      </c>
      <c r="G82">
        <v>44</v>
      </c>
      <c r="H82">
        <v>19</v>
      </c>
      <c r="I82">
        <v>293.57</v>
      </c>
      <c r="J82">
        <v>0.24</v>
      </c>
      <c r="K82">
        <v>925</v>
      </c>
      <c r="L82">
        <v>0.85</v>
      </c>
      <c r="M82">
        <v>7</v>
      </c>
      <c r="N82" s="1">
        <f t="shared" si="19"/>
        <v>15.133333333333333</v>
      </c>
      <c r="O82" s="1">
        <f>N82*(1+Control_Panel!$B$2)</f>
        <v>15.133333333333333</v>
      </c>
      <c r="P82" s="12">
        <f t="shared" si="20"/>
        <v>9.6916299559471369E-2</v>
      </c>
      <c r="Q82" t="str" cm="1">
        <f t="array" ref="Q82">_xlfn.IFS(P82&lt;0.2,"Stable",P82&lt;=0.5,"Moderate",P82&gt;0.5,"Highly veriable")</f>
        <v>Stable</v>
      </c>
      <c r="R82" s="1">
        <f t="shared" si="21"/>
        <v>191.79155351578964</v>
      </c>
      <c r="S82" s="1">
        <f t="shared" si="22"/>
        <v>225.92488684912297</v>
      </c>
      <c r="T82" s="1">
        <f t="shared" si="23"/>
        <v>154.07511315087703</v>
      </c>
      <c r="U82" t="str">
        <f t="shared" si="24"/>
        <v xml:space="preserve"> Risk</v>
      </c>
      <c r="V82">
        <f t="shared" si="25"/>
        <v>5448</v>
      </c>
      <c r="W82" s="9">
        <f t="shared" si="26"/>
        <v>1599369.3599999999</v>
      </c>
      <c r="Y82">
        <f t="shared" si="27"/>
        <v>3.5857892946672457E-3</v>
      </c>
      <c r="Z82" s="12">
        <f t="shared" si="37"/>
        <v>0.37448528011720894</v>
      </c>
      <c r="AA82" t="str">
        <f t="shared" si="28"/>
        <v>A</v>
      </c>
      <c r="AB82" t="str">
        <f t="shared" si="29"/>
        <v>X</v>
      </c>
      <c r="AC82" t="str">
        <f t="shared" si="30"/>
        <v>AX</v>
      </c>
      <c r="AD82" t="str">
        <f t="shared" si="31"/>
        <v>Strict Control</v>
      </c>
      <c r="AE82" t="str">
        <f t="shared" si="32"/>
        <v>Daily</v>
      </c>
      <c r="AF82" t="str">
        <f t="shared" si="33"/>
        <v>Strict Replenishment</v>
      </c>
      <c r="AG82" t="str">
        <f t="shared" si="34"/>
        <v>Low</v>
      </c>
      <c r="AH82">
        <f t="shared" si="35"/>
        <v>50</v>
      </c>
      <c r="AI82" t="str">
        <f t="shared" si="36"/>
        <v>Medium</v>
      </c>
    </row>
    <row r="83" spans="1:35">
      <c r="A83" t="s">
        <v>170</v>
      </c>
      <c r="B83" t="s">
        <v>21</v>
      </c>
      <c r="C83" t="s">
        <v>15</v>
      </c>
      <c r="D83" t="s">
        <v>25</v>
      </c>
      <c r="E83">
        <v>60</v>
      </c>
      <c r="F83">
        <v>379</v>
      </c>
      <c r="G83">
        <v>54</v>
      </c>
      <c r="H83">
        <v>23</v>
      </c>
      <c r="I83">
        <v>341.95</v>
      </c>
      <c r="J83">
        <v>0.1</v>
      </c>
      <c r="K83">
        <v>741</v>
      </c>
      <c r="L83">
        <v>0.75</v>
      </c>
      <c r="M83">
        <v>6</v>
      </c>
      <c r="N83" s="1">
        <f t="shared" si="19"/>
        <v>12.633333333333333</v>
      </c>
      <c r="O83" s="1">
        <f>N83*(1+Control_Panel!$B$2)</f>
        <v>12.633333333333333</v>
      </c>
      <c r="P83" s="12">
        <f t="shared" si="20"/>
        <v>0.14248021108179421</v>
      </c>
      <c r="Q83" t="str" cm="1">
        <f t="array" ref="Q83">_xlfn.IFS(P83&lt;0.2,"Stable",P83&lt;=0.5,"Moderate",P83&gt;0.5,"Highly veriable")</f>
        <v>Stable</v>
      </c>
      <c r="R83" s="1">
        <f t="shared" si="21"/>
        <v>258.97490225888686</v>
      </c>
      <c r="S83" s="1">
        <f t="shared" si="22"/>
        <v>294.60823559222018</v>
      </c>
      <c r="T83" s="1">
        <f t="shared" si="23"/>
        <v>-234.60823559222018</v>
      </c>
      <c r="U83" t="str">
        <f t="shared" si="24"/>
        <v xml:space="preserve"> Need to Order</v>
      </c>
      <c r="V83">
        <f t="shared" si="25"/>
        <v>4548</v>
      </c>
      <c r="W83" s="9">
        <f t="shared" si="26"/>
        <v>1555188.5999999999</v>
      </c>
      <c r="Y83">
        <f t="shared" si="27"/>
        <v>3.4867359426396295E-3</v>
      </c>
      <c r="Z83" s="12">
        <f t="shared" si="37"/>
        <v>0.37797201605984859</v>
      </c>
      <c r="AA83" t="str">
        <f t="shared" si="28"/>
        <v>A</v>
      </c>
      <c r="AB83" t="str">
        <f t="shared" si="29"/>
        <v>X</v>
      </c>
      <c r="AC83" t="str">
        <f t="shared" si="30"/>
        <v>AX</v>
      </c>
      <c r="AD83" t="str">
        <f t="shared" si="31"/>
        <v>Strict Control</v>
      </c>
      <c r="AE83" t="str">
        <f t="shared" si="32"/>
        <v>Daily</v>
      </c>
      <c r="AF83" t="str">
        <f t="shared" si="33"/>
        <v>Strict Replenishment</v>
      </c>
      <c r="AG83" t="str">
        <f t="shared" si="34"/>
        <v>Low</v>
      </c>
      <c r="AH83">
        <f t="shared" si="35"/>
        <v>50</v>
      </c>
      <c r="AI83" t="str">
        <f t="shared" si="36"/>
        <v>Medium</v>
      </c>
    </row>
    <row r="84" spans="1:35">
      <c r="A84" t="s">
        <v>289</v>
      </c>
      <c r="B84" t="s">
        <v>36</v>
      </c>
      <c r="C84" t="s">
        <v>15</v>
      </c>
      <c r="D84" t="s">
        <v>19</v>
      </c>
      <c r="E84">
        <v>711</v>
      </c>
      <c r="F84">
        <v>353</v>
      </c>
      <c r="G84">
        <v>95</v>
      </c>
      <c r="H84">
        <v>10</v>
      </c>
      <c r="I84">
        <v>366.97</v>
      </c>
      <c r="J84">
        <v>0.14000000000000001</v>
      </c>
      <c r="K84">
        <v>436</v>
      </c>
      <c r="L84">
        <v>0.72</v>
      </c>
      <c r="M84">
        <v>1</v>
      </c>
      <c r="N84" s="1">
        <f t="shared" si="19"/>
        <v>11.766666666666667</v>
      </c>
      <c r="O84" s="1">
        <f>N84*(1+Control_Panel!$B$2)</f>
        <v>11.766666666666667</v>
      </c>
      <c r="P84" s="12">
        <f t="shared" si="20"/>
        <v>0.26912181303116145</v>
      </c>
      <c r="Q84" t="str" cm="1">
        <f t="array" ref="Q84">_xlfn.IFS(P84&lt;0.2,"Stable",P84&lt;=0.5,"Moderate",P84&gt;0.5,"Highly veriable")</f>
        <v>Moderate</v>
      </c>
      <c r="R84" s="1">
        <f t="shared" si="21"/>
        <v>300.41637771599608</v>
      </c>
      <c r="S84" s="1">
        <f t="shared" si="22"/>
        <v>322.18304438266273</v>
      </c>
      <c r="T84" s="1">
        <f t="shared" si="23"/>
        <v>388.81695561733727</v>
      </c>
      <c r="U84" t="str">
        <f t="shared" si="24"/>
        <v xml:space="preserve"> Safe</v>
      </c>
      <c r="V84">
        <f t="shared" si="25"/>
        <v>4236</v>
      </c>
      <c r="W84" s="9">
        <f t="shared" si="26"/>
        <v>1554484.9200000002</v>
      </c>
      <c r="Y84">
        <f t="shared" si="27"/>
        <v>3.4851582906763141E-3</v>
      </c>
      <c r="Z84" s="12">
        <f t="shared" si="37"/>
        <v>0.3814571743505249</v>
      </c>
      <c r="AA84" t="str">
        <f t="shared" si="28"/>
        <v>A</v>
      </c>
      <c r="AB84" t="str">
        <f t="shared" si="29"/>
        <v>Y</v>
      </c>
      <c r="AC84" t="str">
        <f t="shared" si="30"/>
        <v>AY</v>
      </c>
      <c r="AD84" t="str">
        <f t="shared" si="31"/>
        <v>Frequent Monitoring</v>
      </c>
      <c r="AE84" t="str">
        <f t="shared" si="32"/>
        <v>Every 2 Days</v>
      </c>
      <c r="AF84" t="str">
        <f t="shared" si="33"/>
        <v>Frequent Monitoring</v>
      </c>
      <c r="AG84" t="str">
        <f t="shared" si="34"/>
        <v>High</v>
      </c>
      <c r="AH84">
        <f t="shared" si="35"/>
        <v>50</v>
      </c>
      <c r="AI84" t="str">
        <f t="shared" si="36"/>
        <v>Medium</v>
      </c>
    </row>
    <row r="85" spans="1:35">
      <c r="A85" t="s">
        <v>286</v>
      </c>
      <c r="B85" t="s">
        <v>14</v>
      </c>
      <c r="C85" t="s">
        <v>15</v>
      </c>
      <c r="D85" t="s">
        <v>25</v>
      </c>
      <c r="E85">
        <v>31</v>
      </c>
      <c r="F85">
        <v>308</v>
      </c>
      <c r="G85">
        <v>74</v>
      </c>
      <c r="H85">
        <v>12</v>
      </c>
      <c r="I85">
        <v>416.33</v>
      </c>
      <c r="J85">
        <v>0.18</v>
      </c>
      <c r="K85">
        <v>164</v>
      </c>
      <c r="L85">
        <v>0.96</v>
      </c>
      <c r="M85">
        <v>8</v>
      </c>
      <c r="N85" s="1">
        <f t="shared" si="19"/>
        <v>10.266666666666667</v>
      </c>
      <c r="O85" s="1">
        <f>N85*(1+Control_Panel!$B$2)</f>
        <v>10.266666666666667</v>
      </c>
      <c r="P85" s="12">
        <f t="shared" si="20"/>
        <v>0.24025974025974026</v>
      </c>
      <c r="Q85" t="str" cm="1">
        <f t="array" ref="Q85">_xlfn.IFS(P85&lt;0.2,"Stable",P85&lt;=0.5,"Moderate",P85&gt;0.5,"Highly veriable")</f>
        <v>Moderate</v>
      </c>
      <c r="R85" s="1">
        <f t="shared" si="21"/>
        <v>256.34351952019381</v>
      </c>
      <c r="S85" s="1">
        <f t="shared" si="22"/>
        <v>278.61018618686046</v>
      </c>
      <c r="T85" s="1">
        <f t="shared" si="23"/>
        <v>-247.61018618686046</v>
      </c>
      <c r="U85" t="str">
        <f t="shared" si="24"/>
        <v xml:space="preserve"> Need to Order</v>
      </c>
      <c r="V85">
        <f t="shared" si="25"/>
        <v>3696</v>
      </c>
      <c r="W85" s="9">
        <f t="shared" si="26"/>
        <v>1538755.68</v>
      </c>
      <c r="Y85">
        <f t="shared" si="27"/>
        <v>3.4498933032282289E-3</v>
      </c>
      <c r="Z85" s="12">
        <f t="shared" si="37"/>
        <v>0.3849070676537531</v>
      </c>
      <c r="AA85" t="str">
        <f t="shared" si="28"/>
        <v>A</v>
      </c>
      <c r="AB85" t="str">
        <f t="shared" si="29"/>
        <v>Y</v>
      </c>
      <c r="AC85" t="str">
        <f t="shared" si="30"/>
        <v>AY</v>
      </c>
      <c r="AD85" t="str">
        <f t="shared" si="31"/>
        <v>Frequent Monitoring</v>
      </c>
      <c r="AE85" t="str">
        <f t="shared" si="32"/>
        <v>Every 2 Days</v>
      </c>
      <c r="AF85" t="str">
        <f t="shared" si="33"/>
        <v>Frequent Monitoring</v>
      </c>
      <c r="AG85" t="str">
        <f t="shared" si="34"/>
        <v>High</v>
      </c>
      <c r="AH85">
        <f t="shared" si="35"/>
        <v>70</v>
      </c>
      <c r="AI85" t="str">
        <f t="shared" si="36"/>
        <v>Critical</v>
      </c>
    </row>
    <row r="86" spans="1:35">
      <c r="A86" t="s">
        <v>422</v>
      </c>
      <c r="B86" t="s">
        <v>36</v>
      </c>
      <c r="C86" t="s">
        <v>15</v>
      </c>
      <c r="D86" t="s">
        <v>23</v>
      </c>
      <c r="E86">
        <v>9</v>
      </c>
      <c r="F86">
        <v>435</v>
      </c>
      <c r="G86">
        <v>20</v>
      </c>
      <c r="H86">
        <v>24</v>
      </c>
      <c r="I86">
        <v>289.62</v>
      </c>
      <c r="J86">
        <v>0.2</v>
      </c>
      <c r="K86">
        <v>971</v>
      </c>
      <c r="L86">
        <v>0.92</v>
      </c>
      <c r="M86">
        <v>6</v>
      </c>
      <c r="N86" s="1">
        <f t="shared" si="19"/>
        <v>14.5</v>
      </c>
      <c r="O86" s="1">
        <f>N86*(1+Control_Panel!$B$2)</f>
        <v>14.5</v>
      </c>
      <c r="P86" s="12">
        <f t="shared" si="20"/>
        <v>4.5977011494252873E-2</v>
      </c>
      <c r="Q86" t="str" cm="1">
        <f t="array" ref="Q86">_xlfn.IFS(P86&lt;0.2,"Stable",P86&lt;=0.5,"Moderate",P86&gt;0.5,"Highly veriable")</f>
        <v>Stable</v>
      </c>
      <c r="R86" s="1">
        <f t="shared" si="21"/>
        <v>97.979589711327122</v>
      </c>
      <c r="S86" s="1">
        <f t="shared" si="22"/>
        <v>136.47958971132712</v>
      </c>
      <c r="T86" s="1">
        <f t="shared" si="23"/>
        <v>-127.47958971132712</v>
      </c>
      <c r="U86" t="str">
        <f t="shared" si="24"/>
        <v xml:space="preserve"> Need to Order</v>
      </c>
      <c r="V86">
        <f t="shared" si="25"/>
        <v>5220</v>
      </c>
      <c r="W86" s="9">
        <f t="shared" si="26"/>
        <v>1511816.4000000001</v>
      </c>
      <c r="Y86">
        <f t="shared" si="27"/>
        <v>3.3894953837444873E-3</v>
      </c>
      <c r="Z86" s="12">
        <f t="shared" si="37"/>
        <v>0.3882965630374976</v>
      </c>
      <c r="AA86" t="str">
        <f t="shared" si="28"/>
        <v>A</v>
      </c>
      <c r="AB86" t="str">
        <f t="shared" si="29"/>
        <v>X</v>
      </c>
      <c r="AC86" t="str">
        <f t="shared" si="30"/>
        <v>AX</v>
      </c>
      <c r="AD86" t="str">
        <f t="shared" si="31"/>
        <v>Strict Control</v>
      </c>
      <c r="AE86" t="str">
        <f t="shared" si="32"/>
        <v>Daily</v>
      </c>
      <c r="AF86" t="str">
        <f t="shared" si="33"/>
        <v>Strict Replenishment</v>
      </c>
      <c r="AG86" t="str">
        <f t="shared" si="34"/>
        <v>Low</v>
      </c>
      <c r="AH86">
        <f t="shared" si="35"/>
        <v>50</v>
      </c>
      <c r="AI86" t="str">
        <f t="shared" si="36"/>
        <v>Medium</v>
      </c>
    </row>
    <row r="87" spans="1:35">
      <c r="A87" t="s">
        <v>310</v>
      </c>
      <c r="B87" t="s">
        <v>38</v>
      </c>
      <c r="C87" t="s">
        <v>15</v>
      </c>
      <c r="D87" t="s">
        <v>23</v>
      </c>
      <c r="E87">
        <v>10</v>
      </c>
      <c r="F87">
        <v>258</v>
      </c>
      <c r="G87">
        <v>47</v>
      </c>
      <c r="H87">
        <v>24</v>
      </c>
      <c r="I87">
        <v>481.67</v>
      </c>
      <c r="J87">
        <v>0.23</v>
      </c>
      <c r="K87">
        <v>306</v>
      </c>
      <c r="L87">
        <v>0.91</v>
      </c>
      <c r="M87">
        <v>9</v>
      </c>
      <c r="N87" s="1">
        <f t="shared" si="19"/>
        <v>8.6</v>
      </c>
      <c r="O87" s="1">
        <f>N87*(1+Control_Panel!$B$2)</f>
        <v>8.6</v>
      </c>
      <c r="P87" s="12">
        <f t="shared" si="20"/>
        <v>0.18217054263565891</v>
      </c>
      <c r="Q87" t="str" cm="1">
        <f t="array" ref="Q87">_xlfn.IFS(P87&lt;0.2,"Stable",P87&lt;=0.5,"Moderate",P87&gt;0.5,"Highly veriable")</f>
        <v>Stable</v>
      </c>
      <c r="R87" s="1">
        <f t="shared" si="21"/>
        <v>230.25203582161873</v>
      </c>
      <c r="S87" s="1">
        <f t="shared" si="22"/>
        <v>262.85203582161876</v>
      </c>
      <c r="T87" s="1">
        <f t="shared" si="23"/>
        <v>-252.85203582161876</v>
      </c>
      <c r="U87" t="str">
        <f t="shared" si="24"/>
        <v xml:space="preserve"> Need to Order</v>
      </c>
      <c r="V87">
        <f t="shared" si="25"/>
        <v>3096</v>
      </c>
      <c r="W87" s="9">
        <f t="shared" si="26"/>
        <v>1491250.32</v>
      </c>
      <c r="Y87">
        <f t="shared" si="27"/>
        <v>3.3433861913705191E-3</v>
      </c>
      <c r="Z87" s="12">
        <f t="shared" si="37"/>
        <v>0.39163994922886813</v>
      </c>
      <c r="AA87" t="str">
        <f t="shared" si="28"/>
        <v>A</v>
      </c>
      <c r="AB87" t="str">
        <f t="shared" si="29"/>
        <v>X</v>
      </c>
      <c r="AC87" t="str">
        <f t="shared" si="30"/>
        <v>AX</v>
      </c>
      <c r="AD87" t="str">
        <f t="shared" si="31"/>
        <v>Strict Control</v>
      </c>
      <c r="AE87" t="str">
        <f t="shared" si="32"/>
        <v>Daily</v>
      </c>
      <c r="AF87" t="str">
        <f t="shared" si="33"/>
        <v>Strict Replenishment</v>
      </c>
      <c r="AG87" t="str">
        <f t="shared" si="34"/>
        <v>Low</v>
      </c>
      <c r="AH87">
        <f t="shared" si="35"/>
        <v>60</v>
      </c>
      <c r="AI87" t="str">
        <f t="shared" si="36"/>
        <v>High</v>
      </c>
    </row>
    <row r="88" spans="1:35">
      <c r="A88" t="s">
        <v>201</v>
      </c>
      <c r="B88" t="s">
        <v>14</v>
      </c>
      <c r="C88" t="s">
        <v>15</v>
      </c>
      <c r="D88" t="s">
        <v>23</v>
      </c>
      <c r="E88">
        <v>497</v>
      </c>
      <c r="F88">
        <v>465</v>
      </c>
      <c r="G88">
        <v>40</v>
      </c>
      <c r="H88">
        <v>20</v>
      </c>
      <c r="I88">
        <v>265.07</v>
      </c>
      <c r="J88">
        <v>0.06</v>
      </c>
      <c r="K88">
        <v>310</v>
      </c>
      <c r="L88">
        <v>0.83</v>
      </c>
      <c r="M88">
        <v>7</v>
      </c>
      <c r="N88" s="1">
        <f t="shared" si="19"/>
        <v>15.5</v>
      </c>
      <c r="O88" s="1">
        <f>N88*(1+Control_Panel!$B$2)</f>
        <v>15.5</v>
      </c>
      <c r="P88" s="12">
        <f t="shared" si="20"/>
        <v>8.6021505376344093E-2</v>
      </c>
      <c r="Q88" t="str" cm="1">
        <f t="array" ref="Q88">_xlfn.IFS(P88&lt;0.2,"Stable",P88&lt;=0.5,"Moderate",P88&gt;0.5,"Highly veriable")</f>
        <v>Stable</v>
      </c>
      <c r="R88" s="1">
        <f t="shared" si="21"/>
        <v>178.88543819998318</v>
      </c>
      <c r="S88" s="1">
        <f t="shared" si="22"/>
        <v>214.38543819998318</v>
      </c>
      <c r="T88" s="1">
        <f t="shared" si="23"/>
        <v>282.61456180001682</v>
      </c>
      <c r="U88" t="str">
        <f t="shared" si="24"/>
        <v xml:space="preserve"> Safe</v>
      </c>
      <c r="V88">
        <f t="shared" si="25"/>
        <v>5580</v>
      </c>
      <c r="W88" s="9">
        <f t="shared" si="26"/>
        <v>1479090.5999999999</v>
      </c>
      <c r="Y88">
        <f t="shared" si="27"/>
        <v>3.3161240748809601E-3</v>
      </c>
      <c r="Z88" s="12">
        <f t="shared" si="37"/>
        <v>0.3949560733037491</v>
      </c>
      <c r="AA88" t="str">
        <f t="shared" si="28"/>
        <v>A</v>
      </c>
      <c r="AB88" t="str">
        <f t="shared" si="29"/>
        <v>X</v>
      </c>
      <c r="AC88" t="str">
        <f t="shared" si="30"/>
        <v>AX</v>
      </c>
      <c r="AD88" t="str">
        <f t="shared" si="31"/>
        <v>Strict Control</v>
      </c>
      <c r="AE88" t="str">
        <f t="shared" si="32"/>
        <v>Daily</v>
      </c>
      <c r="AF88" t="str">
        <f t="shared" si="33"/>
        <v>Strict Replenishment</v>
      </c>
      <c r="AG88" t="str">
        <f t="shared" si="34"/>
        <v>Low</v>
      </c>
      <c r="AH88">
        <f t="shared" si="35"/>
        <v>50</v>
      </c>
      <c r="AI88" t="str">
        <f t="shared" si="36"/>
        <v>Medium</v>
      </c>
    </row>
    <row r="89" spans="1:35">
      <c r="A89" t="s">
        <v>197</v>
      </c>
      <c r="B89" t="s">
        <v>36</v>
      </c>
      <c r="C89" t="s">
        <v>22</v>
      </c>
      <c r="D89" t="s">
        <v>25</v>
      </c>
      <c r="E89">
        <v>838</v>
      </c>
      <c r="F89">
        <v>359</v>
      </c>
      <c r="G89">
        <v>52</v>
      </c>
      <c r="H89">
        <v>8</v>
      </c>
      <c r="I89">
        <v>343.03</v>
      </c>
      <c r="J89">
        <v>0.2</v>
      </c>
      <c r="K89">
        <v>504</v>
      </c>
      <c r="L89">
        <v>0.72</v>
      </c>
      <c r="M89">
        <v>7</v>
      </c>
      <c r="N89" s="1">
        <f t="shared" si="19"/>
        <v>11.966666666666667</v>
      </c>
      <c r="O89" s="1">
        <f>N89*(1+Control_Panel!$B$2)</f>
        <v>11.966666666666667</v>
      </c>
      <c r="P89" s="12">
        <f t="shared" si="20"/>
        <v>0.14484679665738162</v>
      </c>
      <c r="Q89" t="str" cm="1">
        <f t="array" ref="Q89">_xlfn.IFS(P89&lt;0.2,"Stable",P89&lt;=0.5,"Moderate",P89&gt;0.5,"Highly veriable")</f>
        <v>Stable</v>
      </c>
      <c r="R89" s="1">
        <f t="shared" si="21"/>
        <v>147.07821048680191</v>
      </c>
      <c r="S89" s="1">
        <f t="shared" si="22"/>
        <v>167.04487715346858</v>
      </c>
      <c r="T89" s="1">
        <f t="shared" si="23"/>
        <v>670.95512284653137</v>
      </c>
      <c r="U89" t="str">
        <f t="shared" si="24"/>
        <v xml:space="preserve"> Safe</v>
      </c>
      <c r="V89">
        <f t="shared" si="25"/>
        <v>4308</v>
      </c>
      <c r="W89" s="9">
        <f t="shared" si="26"/>
        <v>1477773.24</v>
      </c>
      <c r="Y89">
        <f t="shared" si="27"/>
        <v>3.3131705511338112E-3</v>
      </c>
      <c r="Z89" s="12">
        <f t="shared" si="37"/>
        <v>0.39826924385488294</v>
      </c>
      <c r="AA89" t="str">
        <f t="shared" si="28"/>
        <v>A</v>
      </c>
      <c r="AB89" t="str">
        <f t="shared" si="29"/>
        <v>X</v>
      </c>
      <c r="AC89" t="str">
        <f t="shared" si="30"/>
        <v>AX</v>
      </c>
      <c r="AD89" t="str">
        <f t="shared" si="31"/>
        <v>Strict Control</v>
      </c>
      <c r="AE89" t="str">
        <f t="shared" si="32"/>
        <v>Daily</v>
      </c>
      <c r="AF89" t="str">
        <f t="shared" si="33"/>
        <v>Strict Replenishment</v>
      </c>
      <c r="AG89" t="str">
        <f t="shared" si="34"/>
        <v>Low</v>
      </c>
      <c r="AH89">
        <f t="shared" si="35"/>
        <v>50</v>
      </c>
      <c r="AI89" t="str">
        <f t="shared" si="36"/>
        <v>Medium</v>
      </c>
    </row>
    <row r="90" spans="1:35">
      <c r="A90" t="s">
        <v>307</v>
      </c>
      <c r="B90" t="s">
        <v>14</v>
      </c>
      <c r="C90" t="s">
        <v>15</v>
      </c>
      <c r="D90" t="s">
        <v>16</v>
      </c>
      <c r="E90">
        <v>13</v>
      </c>
      <c r="F90">
        <v>408</v>
      </c>
      <c r="G90">
        <v>13</v>
      </c>
      <c r="H90">
        <v>25</v>
      </c>
      <c r="I90">
        <v>297.42</v>
      </c>
      <c r="J90">
        <v>0.18</v>
      </c>
      <c r="K90">
        <v>816</v>
      </c>
      <c r="L90">
        <v>0.97</v>
      </c>
      <c r="M90">
        <v>4</v>
      </c>
      <c r="N90" s="1">
        <f t="shared" si="19"/>
        <v>13.6</v>
      </c>
      <c r="O90" s="1">
        <f>N90*(1+Control_Panel!$B$2)</f>
        <v>13.6</v>
      </c>
      <c r="P90" s="12">
        <f t="shared" si="20"/>
        <v>3.1862745098039214E-2</v>
      </c>
      <c r="Q90" t="str" cm="1">
        <f t="array" ref="Q90">_xlfn.IFS(P90&lt;0.2,"Stable",P90&lt;=0.5,"Moderate",P90&gt;0.5,"Highly veriable")</f>
        <v>Stable</v>
      </c>
      <c r="R90" s="1">
        <f t="shared" si="21"/>
        <v>65</v>
      </c>
      <c r="S90" s="1">
        <f t="shared" si="22"/>
        <v>103.6</v>
      </c>
      <c r="T90" s="1">
        <f t="shared" si="23"/>
        <v>-90.6</v>
      </c>
      <c r="U90" t="str">
        <f t="shared" si="24"/>
        <v xml:space="preserve"> Need to Order</v>
      </c>
      <c r="V90">
        <f t="shared" si="25"/>
        <v>4896</v>
      </c>
      <c r="W90" s="9">
        <f t="shared" si="26"/>
        <v>1456168.32</v>
      </c>
      <c r="Y90">
        <f t="shared" si="27"/>
        <v>3.2647322774081331E-3</v>
      </c>
      <c r="Z90" s="12">
        <f t="shared" si="37"/>
        <v>0.40153397613229108</v>
      </c>
      <c r="AA90" t="str">
        <f t="shared" si="28"/>
        <v>A</v>
      </c>
      <c r="AB90" t="str">
        <f t="shared" si="29"/>
        <v>X</v>
      </c>
      <c r="AC90" t="str">
        <f t="shared" si="30"/>
        <v>AX</v>
      </c>
      <c r="AD90" t="str">
        <f t="shared" si="31"/>
        <v>Strict Control</v>
      </c>
      <c r="AE90" t="str">
        <f t="shared" si="32"/>
        <v>Daily</v>
      </c>
      <c r="AF90" t="str">
        <f t="shared" si="33"/>
        <v>Strict Replenishment</v>
      </c>
      <c r="AG90" t="str">
        <f t="shared" si="34"/>
        <v>Low</v>
      </c>
      <c r="AH90">
        <f t="shared" si="35"/>
        <v>40</v>
      </c>
      <c r="AI90" t="str">
        <f t="shared" si="36"/>
        <v>Low</v>
      </c>
    </row>
    <row r="91" spans="1:35">
      <c r="A91" t="s">
        <v>138</v>
      </c>
      <c r="B91" t="s">
        <v>21</v>
      </c>
      <c r="C91" t="s">
        <v>15</v>
      </c>
      <c r="D91" t="s">
        <v>23</v>
      </c>
      <c r="E91">
        <v>740</v>
      </c>
      <c r="F91">
        <v>344</v>
      </c>
      <c r="G91">
        <v>69</v>
      </c>
      <c r="H91">
        <v>22</v>
      </c>
      <c r="I91">
        <v>347.34</v>
      </c>
      <c r="J91">
        <v>0.06</v>
      </c>
      <c r="K91">
        <v>191</v>
      </c>
      <c r="L91">
        <v>0.8</v>
      </c>
      <c r="M91">
        <v>10</v>
      </c>
      <c r="N91" s="1">
        <f t="shared" si="19"/>
        <v>11.466666666666667</v>
      </c>
      <c r="O91" s="1">
        <f>N91*(1+Control_Panel!$B$2)</f>
        <v>11.466666666666667</v>
      </c>
      <c r="P91" s="12">
        <f t="shared" si="20"/>
        <v>0.2005813953488372</v>
      </c>
      <c r="Q91" t="str" cm="1">
        <f t="array" ref="Q91">_xlfn.IFS(P91&lt;0.2,"Stable",P91&lt;=0.5,"Moderate",P91&gt;0.5,"Highly veriable")</f>
        <v>Moderate</v>
      </c>
      <c r="R91" s="1">
        <f t="shared" si="21"/>
        <v>323.63868742781665</v>
      </c>
      <c r="S91" s="1">
        <f t="shared" si="22"/>
        <v>357.10535409448335</v>
      </c>
      <c r="T91" s="1">
        <f t="shared" si="23"/>
        <v>382.89464590551665</v>
      </c>
      <c r="U91" t="str">
        <f t="shared" si="24"/>
        <v xml:space="preserve"> Safe</v>
      </c>
      <c r="V91">
        <f t="shared" si="25"/>
        <v>4128</v>
      </c>
      <c r="W91" s="9">
        <f t="shared" si="26"/>
        <v>1433819.5199999998</v>
      </c>
      <c r="Y91">
        <f t="shared" si="27"/>
        <v>3.2146262232389698E-3</v>
      </c>
      <c r="Z91" s="12">
        <f t="shared" si="37"/>
        <v>0.40474860235553006</v>
      </c>
      <c r="AA91" t="str">
        <f t="shared" si="28"/>
        <v>A</v>
      </c>
      <c r="AB91" t="str">
        <f t="shared" si="29"/>
        <v>Y</v>
      </c>
      <c r="AC91" t="str">
        <f t="shared" si="30"/>
        <v>AY</v>
      </c>
      <c r="AD91" t="str">
        <f t="shared" si="31"/>
        <v>Frequent Monitoring</v>
      </c>
      <c r="AE91" t="str">
        <f t="shared" si="32"/>
        <v>Every 2 Days</v>
      </c>
      <c r="AF91" t="str">
        <f t="shared" si="33"/>
        <v>Frequent Monitoring</v>
      </c>
      <c r="AG91" t="str">
        <f t="shared" si="34"/>
        <v>High</v>
      </c>
      <c r="AH91">
        <f t="shared" si="35"/>
        <v>70</v>
      </c>
      <c r="AI91" t="str">
        <f t="shared" si="36"/>
        <v>Critical</v>
      </c>
    </row>
    <row r="92" spans="1:35">
      <c r="A92" t="s">
        <v>17</v>
      </c>
      <c r="B92" t="s">
        <v>18</v>
      </c>
      <c r="C92" t="s">
        <v>15</v>
      </c>
      <c r="D92" t="s">
        <v>19</v>
      </c>
      <c r="E92">
        <v>6</v>
      </c>
      <c r="F92">
        <v>317</v>
      </c>
      <c r="G92">
        <v>21</v>
      </c>
      <c r="H92">
        <v>18</v>
      </c>
      <c r="I92">
        <v>372.18</v>
      </c>
      <c r="J92">
        <v>0.25</v>
      </c>
      <c r="K92">
        <v>846</v>
      </c>
      <c r="L92">
        <v>0.87</v>
      </c>
      <c r="M92">
        <v>6</v>
      </c>
      <c r="N92" s="1">
        <f t="shared" si="19"/>
        <v>10.566666666666666</v>
      </c>
      <c r="O92" s="1">
        <f>N92*(1+Control_Panel!$B$2)</f>
        <v>10.566666666666666</v>
      </c>
      <c r="P92" s="12">
        <f t="shared" si="20"/>
        <v>6.6246056782334389E-2</v>
      </c>
      <c r="Q92" t="str" cm="1">
        <f t="array" ref="Q92">_xlfn.IFS(P92&lt;0.2,"Stable",P92&lt;=0.5,"Moderate",P92&gt;0.5,"Highly veriable")</f>
        <v>Stable</v>
      </c>
      <c r="R92" s="1">
        <f t="shared" si="21"/>
        <v>89.095454429504983</v>
      </c>
      <c r="S92" s="1">
        <f t="shared" si="22"/>
        <v>117.66212109617165</v>
      </c>
      <c r="T92" s="1">
        <f t="shared" si="23"/>
        <v>-111.66212109617165</v>
      </c>
      <c r="U92" t="str">
        <f t="shared" si="24"/>
        <v xml:space="preserve"> Need to Order</v>
      </c>
      <c r="V92">
        <f t="shared" si="25"/>
        <v>3804</v>
      </c>
      <c r="W92" s="9">
        <f t="shared" si="26"/>
        <v>1415772.72</v>
      </c>
      <c r="Y92">
        <f t="shared" si="27"/>
        <v>3.174165261649084E-3</v>
      </c>
      <c r="Z92" s="12">
        <f t="shared" si="37"/>
        <v>0.40792276761717916</v>
      </c>
      <c r="AA92" t="str">
        <f t="shared" si="28"/>
        <v>A</v>
      </c>
      <c r="AB92" t="str">
        <f t="shared" si="29"/>
        <v>X</v>
      </c>
      <c r="AC92" t="str">
        <f t="shared" si="30"/>
        <v>AX</v>
      </c>
      <c r="AD92" t="str">
        <f t="shared" si="31"/>
        <v>Strict Control</v>
      </c>
      <c r="AE92" t="str">
        <f t="shared" si="32"/>
        <v>Daily</v>
      </c>
      <c r="AF92" t="str">
        <f t="shared" si="33"/>
        <v>Strict Replenishment</v>
      </c>
      <c r="AG92" t="str">
        <f t="shared" si="34"/>
        <v>Low</v>
      </c>
      <c r="AH92">
        <f t="shared" si="35"/>
        <v>50</v>
      </c>
      <c r="AI92" t="str">
        <f t="shared" si="36"/>
        <v>Medium</v>
      </c>
    </row>
    <row r="93" spans="1:35">
      <c r="A93" t="s">
        <v>256</v>
      </c>
      <c r="B93" t="s">
        <v>14</v>
      </c>
      <c r="C93" t="s">
        <v>15</v>
      </c>
      <c r="D93" t="s">
        <v>16</v>
      </c>
      <c r="E93">
        <v>737</v>
      </c>
      <c r="F93">
        <v>264</v>
      </c>
      <c r="G93">
        <v>69</v>
      </c>
      <c r="H93">
        <v>1</v>
      </c>
      <c r="I93">
        <v>445.54</v>
      </c>
      <c r="J93">
        <v>0.18</v>
      </c>
      <c r="K93">
        <v>769</v>
      </c>
      <c r="L93">
        <v>0.72</v>
      </c>
      <c r="M93">
        <v>9</v>
      </c>
      <c r="N93" s="1">
        <f t="shared" si="19"/>
        <v>8.8000000000000007</v>
      </c>
      <c r="O93" s="1">
        <f>N93*(1+Control_Panel!$B$2)</f>
        <v>8.8000000000000007</v>
      </c>
      <c r="P93" s="12">
        <f t="shared" si="20"/>
        <v>0.26136363636363635</v>
      </c>
      <c r="Q93" t="str" cm="1">
        <f t="array" ref="Q93">_xlfn.IFS(P93&lt;0.2,"Stable",P93&lt;=0.5,"Moderate",P93&gt;0.5,"Highly veriable")</f>
        <v>Moderate</v>
      </c>
      <c r="R93" s="1">
        <f t="shared" si="21"/>
        <v>69</v>
      </c>
      <c r="S93" s="1">
        <f t="shared" si="22"/>
        <v>78.8</v>
      </c>
      <c r="T93" s="1">
        <f t="shared" si="23"/>
        <v>658.2</v>
      </c>
      <c r="U93" t="str">
        <f t="shared" si="24"/>
        <v xml:space="preserve"> Safe</v>
      </c>
      <c r="V93">
        <f t="shared" si="25"/>
        <v>3168</v>
      </c>
      <c r="W93" s="9">
        <f t="shared" si="26"/>
        <v>1411470.72</v>
      </c>
      <c r="Y93">
        <f t="shared" si="27"/>
        <v>3.1645201690698073E-3</v>
      </c>
      <c r="Z93" s="12">
        <f t="shared" si="37"/>
        <v>0.41108728778624898</v>
      </c>
      <c r="AA93" t="str">
        <f t="shared" si="28"/>
        <v>A</v>
      </c>
      <c r="AB93" t="str">
        <f t="shared" si="29"/>
        <v>Y</v>
      </c>
      <c r="AC93" t="str">
        <f t="shared" si="30"/>
        <v>AY</v>
      </c>
      <c r="AD93" t="str">
        <f t="shared" si="31"/>
        <v>Frequent Monitoring</v>
      </c>
      <c r="AE93" t="str">
        <f t="shared" si="32"/>
        <v>Every 2 Days</v>
      </c>
      <c r="AF93" t="str">
        <f t="shared" si="33"/>
        <v>Frequent Monitoring</v>
      </c>
      <c r="AG93" t="str">
        <f t="shared" si="34"/>
        <v>High</v>
      </c>
      <c r="AH93">
        <f t="shared" si="35"/>
        <v>70</v>
      </c>
      <c r="AI93" t="str">
        <f t="shared" si="36"/>
        <v>Critical</v>
      </c>
    </row>
    <row r="94" spans="1:35">
      <c r="A94" t="s">
        <v>521</v>
      </c>
      <c r="B94" t="s">
        <v>36</v>
      </c>
      <c r="C94" t="s">
        <v>22</v>
      </c>
      <c r="D94" t="s">
        <v>23</v>
      </c>
      <c r="E94">
        <v>318</v>
      </c>
      <c r="F94">
        <v>435</v>
      </c>
      <c r="G94">
        <v>61</v>
      </c>
      <c r="H94">
        <v>10</v>
      </c>
      <c r="I94">
        <v>268.97000000000003</v>
      </c>
      <c r="J94">
        <v>0.09</v>
      </c>
      <c r="K94">
        <v>655</v>
      </c>
      <c r="L94">
        <v>0.97</v>
      </c>
      <c r="M94">
        <v>5</v>
      </c>
      <c r="N94" s="1">
        <f t="shared" si="19"/>
        <v>14.5</v>
      </c>
      <c r="O94" s="1">
        <f>N94*(1+Control_Panel!$B$2)</f>
        <v>14.5</v>
      </c>
      <c r="P94" s="12">
        <f t="shared" si="20"/>
        <v>0.14022988505747128</v>
      </c>
      <c r="Q94" t="str" cm="1">
        <f t="array" ref="Q94">_xlfn.IFS(P94&lt;0.2,"Stable",P94&lt;=0.5,"Moderate",P94&gt;0.5,"Highly veriable")</f>
        <v>Stable</v>
      </c>
      <c r="R94" s="1">
        <f t="shared" si="21"/>
        <v>192.89893727027115</v>
      </c>
      <c r="S94" s="1">
        <f t="shared" si="22"/>
        <v>217.39893727027115</v>
      </c>
      <c r="T94" s="1">
        <f t="shared" si="23"/>
        <v>100.60106272972885</v>
      </c>
      <c r="U94" t="str">
        <f t="shared" si="24"/>
        <v xml:space="preserve"> Risk</v>
      </c>
      <c r="V94">
        <f t="shared" si="25"/>
        <v>5220</v>
      </c>
      <c r="W94" s="9">
        <f t="shared" si="26"/>
        <v>1404023.4000000001</v>
      </c>
      <c r="Y94">
        <f t="shared" si="27"/>
        <v>3.147823262777967E-3</v>
      </c>
      <c r="Z94" s="12">
        <f t="shared" si="37"/>
        <v>0.41423511104902694</v>
      </c>
      <c r="AA94" t="str">
        <f t="shared" si="28"/>
        <v>A</v>
      </c>
      <c r="AB94" t="str">
        <f t="shared" si="29"/>
        <v>X</v>
      </c>
      <c r="AC94" t="str">
        <f t="shared" si="30"/>
        <v>AX</v>
      </c>
      <c r="AD94" t="str">
        <f t="shared" si="31"/>
        <v>Strict Control</v>
      </c>
      <c r="AE94" t="str">
        <f t="shared" si="32"/>
        <v>Daily</v>
      </c>
      <c r="AF94" t="str">
        <f t="shared" si="33"/>
        <v>Strict Replenishment</v>
      </c>
      <c r="AG94" t="str">
        <f t="shared" si="34"/>
        <v>Low</v>
      </c>
      <c r="AH94">
        <f t="shared" si="35"/>
        <v>50</v>
      </c>
      <c r="AI94" t="str">
        <f t="shared" si="36"/>
        <v>Medium</v>
      </c>
    </row>
    <row r="95" spans="1:35">
      <c r="A95" t="s">
        <v>423</v>
      </c>
      <c r="B95" t="s">
        <v>34</v>
      </c>
      <c r="C95" t="s">
        <v>15</v>
      </c>
      <c r="D95" t="s">
        <v>23</v>
      </c>
      <c r="E95">
        <v>373</v>
      </c>
      <c r="F95">
        <v>329</v>
      </c>
      <c r="G95">
        <v>99</v>
      </c>
      <c r="H95">
        <v>16</v>
      </c>
      <c r="I95">
        <v>352.79</v>
      </c>
      <c r="J95">
        <v>0.05</v>
      </c>
      <c r="K95">
        <v>292</v>
      </c>
      <c r="L95">
        <v>0.74</v>
      </c>
      <c r="M95">
        <v>6</v>
      </c>
      <c r="N95" s="1">
        <f t="shared" si="19"/>
        <v>10.966666666666667</v>
      </c>
      <c r="O95" s="1">
        <f>N95*(1+Control_Panel!$B$2)</f>
        <v>10.966666666666667</v>
      </c>
      <c r="P95" s="12">
        <f t="shared" si="20"/>
        <v>0.30091185410334348</v>
      </c>
      <c r="Q95" t="str" cm="1">
        <f t="array" ref="Q95">_xlfn.IFS(P95&lt;0.2,"Stable",P95&lt;=0.5,"Moderate",P95&gt;0.5,"Highly veriable")</f>
        <v>Moderate</v>
      </c>
      <c r="R95" s="1">
        <f t="shared" si="21"/>
        <v>396</v>
      </c>
      <c r="S95" s="1">
        <f t="shared" si="22"/>
        <v>422.9666666666667</v>
      </c>
      <c r="T95" s="1">
        <f t="shared" si="23"/>
        <v>-49.966666666666697</v>
      </c>
      <c r="U95" t="str">
        <f t="shared" si="24"/>
        <v xml:space="preserve"> Need to Order</v>
      </c>
      <c r="V95">
        <f t="shared" si="25"/>
        <v>3948</v>
      </c>
      <c r="W95" s="9">
        <f t="shared" si="26"/>
        <v>1392814.9200000002</v>
      </c>
      <c r="Y95">
        <f t="shared" si="27"/>
        <v>3.1226938282654217E-3</v>
      </c>
      <c r="Z95" s="12">
        <f t="shared" si="37"/>
        <v>0.41735780487729235</v>
      </c>
      <c r="AA95" t="str">
        <f t="shared" si="28"/>
        <v>A</v>
      </c>
      <c r="AB95" t="str">
        <f t="shared" si="29"/>
        <v>Y</v>
      </c>
      <c r="AC95" t="str">
        <f t="shared" si="30"/>
        <v>AY</v>
      </c>
      <c r="AD95" t="str">
        <f t="shared" si="31"/>
        <v>Frequent Monitoring</v>
      </c>
      <c r="AE95" t="str">
        <f t="shared" si="32"/>
        <v>Every 2 Days</v>
      </c>
      <c r="AF95" t="str">
        <f t="shared" si="33"/>
        <v>Frequent Monitoring</v>
      </c>
      <c r="AG95" t="str">
        <f t="shared" si="34"/>
        <v>High</v>
      </c>
      <c r="AH95">
        <f t="shared" si="35"/>
        <v>60</v>
      </c>
      <c r="AI95" t="str">
        <f t="shared" si="36"/>
        <v>High</v>
      </c>
    </row>
    <row r="96" spans="1:35">
      <c r="A96" t="s">
        <v>345</v>
      </c>
      <c r="B96" t="s">
        <v>18</v>
      </c>
      <c r="C96" t="s">
        <v>15</v>
      </c>
      <c r="D96" t="s">
        <v>19</v>
      </c>
      <c r="E96">
        <v>289</v>
      </c>
      <c r="F96">
        <v>312</v>
      </c>
      <c r="G96">
        <v>50</v>
      </c>
      <c r="H96">
        <v>28</v>
      </c>
      <c r="I96">
        <v>371.27</v>
      </c>
      <c r="J96">
        <v>0.08</v>
      </c>
      <c r="K96">
        <v>829</v>
      </c>
      <c r="L96">
        <v>0.81</v>
      </c>
      <c r="M96">
        <v>7</v>
      </c>
      <c r="N96" s="1">
        <f t="shared" si="19"/>
        <v>10.4</v>
      </c>
      <c r="O96" s="1">
        <f>N96*(1+Control_Panel!$B$2)</f>
        <v>10.4</v>
      </c>
      <c r="P96" s="12">
        <f t="shared" si="20"/>
        <v>0.16025641025641027</v>
      </c>
      <c r="Q96" t="str" cm="1">
        <f t="array" ref="Q96">_xlfn.IFS(P96&lt;0.2,"Stable",P96&lt;=0.5,"Moderate",P96&gt;0.5,"Highly veriable")</f>
        <v>Stable</v>
      </c>
      <c r="R96" s="1">
        <f t="shared" si="21"/>
        <v>264.57513110645908</v>
      </c>
      <c r="S96" s="1">
        <f t="shared" si="22"/>
        <v>302.97513110645906</v>
      </c>
      <c r="T96" s="1">
        <f t="shared" si="23"/>
        <v>-13.97513110645906</v>
      </c>
      <c r="U96" t="str">
        <f t="shared" si="24"/>
        <v xml:space="preserve"> Need to Order</v>
      </c>
      <c r="V96">
        <f t="shared" si="25"/>
        <v>3744</v>
      </c>
      <c r="W96" s="9">
        <f t="shared" si="26"/>
        <v>1390034.88</v>
      </c>
      <c r="Y96">
        <f t="shared" si="27"/>
        <v>3.1164609730413178E-3</v>
      </c>
      <c r="Z96" s="12">
        <f t="shared" si="37"/>
        <v>0.42047426585033365</v>
      </c>
      <c r="AA96" t="str">
        <f t="shared" si="28"/>
        <v>A</v>
      </c>
      <c r="AB96" t="str">
        <f t="shared" si="29"/>
        <v>X</v>
      </c>
      <c r="AC96" t="str">
        <f t="shared" si="30"/>
        <v>AX</v>
      </c>
      <c r="AD96" t="str">
        <f t="shared" si="31"/>
        <v>Strict Control</v>
      </c>
      <c r="AE96" t="str">
        <f t="shared" si="32"/>
        <v>Daily</v>
      </c>
      <c r="AF96" t="str">
        <f t="shared" si="33"/>
        <v>Strict Replenishment</v>
      </c>
      <c r="AG96" t="str">
        <f t="shared" si="34"/>
        <v>Low</v>
      </c>
      <c r="AH96">
        <f t="shared" si="35"/>
        <v>50</v>
      </c>
      <c r="AI96" t="str">
        <f t="shared" si="36"/>
        <v>Medium</v>
      </c>
    </row>
    <row r="97" spans="1:35">
      <c r="A97" t="s">
        <v>166</v>
      </c>
      <c r="B97" t="s">
        <v>36</v>
      </c>
      <c r="C97" t="s">
        <v>22</v>
      </c>
      <c r="D97" t="s">
        <v>19</v>
      </c>
      <c r="E97">
        <v>321</v>
      </c>
      <c r="F97">
        <v>491</v>
      </c>
      <c r="G97">
        <v>82</v>
      </c>
      <c r="H97">
        <v>3</v>
      </c>
      <c r="I97">
        <v>234.44</v>
      </c>
      <c r="J97">
        <v>0.11</v>
      </c>
      <c r="K97">
        <v>562</v>
      </c>
      <c r="L97">
        <v>0.94</v>
      </c>
      <c r="M97">
        <v>8</v>
      </c>
      <c r="N97" s="1">
        <f t="shared" si="19"/>
        <v>16.366666666666667</v>
      </c>
      <c r="O97" s="1">
        <f>N97*(1+Control_Panel!$B$2)</f>
        <v>16.366666666666667</v>
      </c>
      <c r="P97" s="12">
        <f t="shared" si="20"/>
        <v>0.16700610997963339</v>
      </c>
      <c r="Q97" t="str" cm="1">
        <f t="array" ref="Q97">_xlfn.IFS(P97&lt;0.2,"Stable",P97&lt;=0.5,"Moderate",P97&gt;0.5,"Highly veriable")</f>
        <v>Stable</v>
      </c>
      <c r="R97" s="1">
        <f t="shared" si="21"/>
        <v>142.02816622064793</v>
      </c>
      <c r="S97" s="1">
        <f t="shared" si="22"/>
        <v>161.39483288731461</v>
      </c>
      <c r="T97" s="1">
        <f t="shared" si="23"/>
        <v>159.60516711268539</v>
      </c>
      <c r="U97" t="str">
        <f t="shared" si="24"/>
        <v xml:space="preserve"> Safe</v>
      </c>
      <c r="V97">
        <f t="shared" si="25"/>
        <v>5892</v>
      </c>
      <c r="W97" s="9">
        <f t="shared" si="26"/>
        <v>1381320.48</v>
      </c>
      <c r="Y97">
        <f t="shared" si="27"/>
        <v>3.096923270862599E-3</v>
      </c>
      <c r="Z97" s="12">
        <f t="shared" si="37"/>
        <v>0.42357118912119623</v>
      </c>
      <c r="AA97" t="str">
        <f t="shared" si="28"/>
        <v>A</v>
      </c>
      <c r="AB97" t="str">
        <f t="shared" si="29"/>
        <v>X</v>
      </c>
      <c r="AC97" t="str">
        <f t="shared" si="30"/>
        <v>AX</v>
      </c>
      <c r="AD97" t="str">
        <f t="shared" si="31"/>
        <v>Strict Control</v>
      </c>
      <c r="AE97" t="str">
        <f t="shared" si="32"/>
        <v>Daily</v>
      </c>
      <c r="AF97" t="str">
        <f t="shared" si="33"/>
        <v>Strict Replenishment</v>
      </c>
      <c r="AG97" t="str">
        <f t="shared" si="34"/>
        <v>Low</v>
      </c>
      <c r="AH97">
        <f t="shared" si="35"/>
        <v>60</v>
      </c>
      <c r="AI97" t="str">
        <f t="shared" si="36"/>
        <v>High</v>
      </c>
    </row>
    <row r="98" spans="1:35">
      <c r="A98" t="s">
        <v>116</v>
      </c>
      <c r="B98" t="s">
        <v>38</v>
      </c>
      <c r="C98" t="s">
        <v>22</v>
      </c>
      <c r="D98" t="s">
        <v>41</v>
      </c>
      <c r="E98">
        <v>973</v>
      </c>
      <c r="F98">
        <v>314</v>
      </c>
      <c r="G98">
        <v>77</v>
      </c>
      <c r="H98">
        <v>24</v>
      </c>
      <c r="I98">
        <v>365.92</v>
      </c>
      <c r="J98">
        <v>7.0000000000000007E-2</v>
      </c>
      <c r="K98">
        <v>493</v>
      </c>
      <c r="L98">
        <v>0.8</v>
      </c>
      <c r="M98">
        <v>5</v>
      </c>
      <c r="N98" s="1">
        <f t="shared" si="19"/>
        <v>10.466666666666667</v>
      </c>
      <c r="O98" s="1">
        <f>N98*(1+Control_Panel!$B$2)</f>
        <v>10.466666666666667</v>
      </c>
      <c r="P98" s="12">
        <f t="shared" si="20"/>
        <v>0.24522292993630573</v>
      </c>
      <c r="Q98" t="str" cm="1">
        <f t="array" ref="Q98">_xlfn.IFS(P98&lt;0.2,"Stable",P98&lt;=0.5,"Moderate",P98&gt;0.5,"Highly veriable")</f>
        <v>Moderate</v>
      </c>
      <c r="R98" s="1">
        <f t="shared" si="21"/>
        <v>377.22142038860937</v>
      </c>
      <c r="S98" s="1">
        <f t="shared" si="22"/>
        <v>411.68808705527601</v>
      </c>
      <c r="T98" s="1">
        <f t="shared" si="23"/>
        <v>561.31191294472399</v>
      </c>
      <c r="U98" t="str">
        <f t="shared" si="24"/>
        <v xml:space="preserve"> Safe</v>
      </c>
      <c r="V98">
        <f t="shared" si="25"/>
        <v>3768</v>
      </c>
      <c r="W98" s="9">
        <f t="shared" si="26"/>
        <v>1378786.56</v>
      </c>
      <c r="Y98">
        <f t="shared" si="27"/>
        <v>3.0912422171693213E-3</v>
      </c>
      <c r="Z98" s="12">
        <f t="shared" si="37"/>
        <v>0.42666243133836557</v>
      </c>
      <c r="AA98" t="str">
        <f t="shared" si="28"/>
        <v>A</v>
      </c>
      <c r="AB98" t="str">
        <f t="shared" si="29"/>
        <v>Y</v>
      </c>
      <c r="AC98" t="str">
        <f t="shared" si="30"/>
        <v>AY</v>
      </c>
      <c r="AD98" t="str">
        <f t="shared" si="31"/>
        <v>Frequent Monitoring</v>
      </c>
      <c r="AE98" t="str">
        <f t="shared" si="32"/>
        <v>Every 2 Days</v>
      </c>
      <c r="AF98" t="str">
        <f t="shared" si="33"/>
        <v>Frequent Monitoring</v>
      </c>
      <c r="AG98" t="str">
        <f t="shared" si="34"/>
        <v>High</v>
      </c>
      <c r="AH98">
        <f t="shared" si="35"/>
        <v>60</v>
      </c>
      <c r="AI98" t="str">
        <f t="shared" si="36"/>
        <v>High</v>
      </c>
    </row>
    <row r="99" spans="1:35">
      <c r="A99" t="s">
        <v>128</v>
      </c>
      <c r="B99" t="s">
        <v>34</v>
      </c>
      <c r="C99" t="s">
        <v>22</v>
      </c>
      <c r="D99" t="s">
        <v>25</v>
      </c>
      <c r="E99">
        <v>340</v>
      </c>
      <c r="F99">
        <v>411</v>
      </c>
      <c r="G99">
        <v>7</v>
      </c>
      <c r="H99">
        <v>5</v>
      </c>
      <c r="I99">
        <v>279.48</v>
      </c>
      <c r="J99">
        <v>0.17</v>
      </c>
      <c r="K99">
        <v>922</v>
      </c>
      <c r="L99">
        <v>0.77</v>
      </c>
      <c r="M99">
        <v>10</v>
      </c>
      <c r="N99" s="1">
        <f t="shared" si="19"/>
        <v>13.7</v>
      </c>
      <c r="O99" s="1">
        <f>N99*(1+Control_Panel!$B$2)</f>
        <v>13.7</v>
      </c>
      <c r="P99" s="12">
        <f t="shared" si="20"/>
        <v>1.7031630170316302E-2</v>
      </c>
      <c r="Q99" t="str" cm="1">
        <f t="array" ref="Q99">_xlfn.IFS(P99&lt;0.2,"Stable",P99&lt;=0.5,"Moderate",P99&gt;0.5,"Highly veriable")</f>
        <v>Stable</v>
      </c>
      <c r="R99" s="1">
        <f t="shared" si="21"/>
        <v>15.652475842498529</v>
      </c>
      <c r="S99" s="1">
        <f t="shared" si="22"/>
        <v>34.352475842498528</v>
      </c>
      <c r="T99" s="1">
        <f t="shared" si="23"/>
        <v>305.64752415750149</v>
      </c>
      <c r="U99" t="str">
        <f t="shared" si="24"/>
        <v xml:space="preserve"> Safe</v>
      </c>
      <c r="V99">
        <f t="shared" si="25"/>
        <v>4932</v>
      </c>
      <c r="W99" s="9">
        <f t="shared" si="26"/>
        <v>1378395.36</v>
      </c>
      <c r="Y99">
        <f t="shared" si="27"/>
        <v>3.0903651459891698E-3</v>
      </c>
      <c r="Z99" s="12">
        <f t="shared" si="37"/>
        <v>0.42975279648435472</v>
      </c>
      <c r="AA99" t="str">
        <f t="shared" si="28"/>
        <v>A</v>
      </c>
      <c r="AB99" t="str">
        <f t="shared" si="29"/>
        <v>X</v>
      </c>
      <c r="AC99" t="str">
        <f t="shared" si="30"/>
        <v>AX</v>
      </c>
      <c r="AD99" t="str">
        <f t="shared" si="31"/>
        <v>Strict Control</v>
      </c>
      <c r="AE99" t="str">
        <f t="shared" si="32"/>
        <v>Daily</v>
      </c>
      <c r="AF99" t="str">
        <f t="shared" si="33"/>
        <v>Strict Replenishment</v>
      </c>
      <c r="AG99" t="str">
        <f t="shared" si="34"/>
        <v>Low</v>
      </c>
      <c r="AH99">
        <f t="shared" si="35"/>
        <v>60</v>
      </c>
      <c r="AI99" t="str">
        <f t="shared" si="36"/>
        <v>High</v>
      </c>
    </row>
    <row r="100" spans="1:35">
      <c r="A100" t="s">
        <v>144</v>
      </c>
      <c r="B100" t="s">
        <v>18</v>
      </c>
      <c r="C100" t="s">
        <v>22</v>
      </c>
      <c r="D100" t="s">
        <v>19</v>
      </c>
      <c r="E100">
        <v>528</v>
      </c>
      <c r="F100">
        <v>440</v>
      </c>
      <c r="G100">
        <v>10</v>
      </c>
      <c r="H100">
        <v>11</v>
      </c>
      <c r="I100">
        <v>260.22000000000003</v>
      </c>
      <c r="J100">
        <v>0.06</v>
      </c>
      <c r="K100">
        <v>466</v>
      </c>
      <c r="L100">
        <v>0.74</v>
      </c>
      <c r="M100">
        <v>5</v>
      </c>
      <c r="N100" s="1">
        <f t="shared" si="19"/>
        <v>14.666666666666666</v>
      </c>
      <c r="O100" s="1">
        <f>N100*(1+Control_Panel!$B$2)</f>
        <v>14.666666666666666</v>
      </c>
      <c r="P100" s="12">
        <f t="shared" si="20"/>
        <v>2.2727272727272728E-2</v>
      </c>
      <c r="Q100" t="str" cm="1">
        <f t="array" ref="Q100">_xlfn.IFS(P100&lt;0.2,"Stable",P100&lt;=0.5,"Moderate",P100&gt;0.5,"Highly veriable")</f>
        <v>Stable</v>
      </c>
      <c r="R100" s="1">
        <f t="shared" si="21"/>
        <v>33.166247903553995</v>
      </c>
      <c r="S100" s="1">
        <f t="shared" si="22"/>
        <v>58.832914570220659</v>
      </c>
      <c r="T100" s="1">
        <f t="shared" si="23"/>
        <v>469.16708542977932</v>
      </c>
      <c r="U100" t="str">
        <f t="shared" si="24"/>
        <v xml:space="preserve"> Safe</v>
      </c>
      <c r="V100">
        <f t="shared" si="25"/>
        <v>5280</v>
      </c>
      <c r="W100" s="9">
        <f t="shared" si="26"/>
        <v>1373961.6</v>
      </c>
      <c r="Y100">
        <f t="shared" si="27"/>
        <v>3.08042464722713E-3</v>
      </c>
      <c r="Z100" s="12">
        <f t="shared" si="37"/>
        <v>0.43283322113158185</v>
      </c>
      <c r="AA100" t="str">
        <f t="shared" si="28"/>
        <v>A</v>
      </c>
      <c r="AB100" t="str">
        <f t="shared" si="29"/>
        <v>X</v>
      </c>
      <c r="AC100" t="str">
        <f t="shared" si="30"/>
        <v>AX</v>
      </c>
      <c r="AD100" t="str">
        <f t="shared" si="31"/>
        <v>Strict Control</v>
      </c>
      <c r="AE100" t="str">
        <f t="shared" si="32"/>
        <v>Daily</v>
      </c>
      <c r="AF100" t="str">
        <f t="shared" si="33"/>
        <v>Strict Replenishment</v>
      </c>
      <c r="AG100" t="str">
        <f t="shared" si="34"/>
        <v>Low</v>
      </c>
      <c r="AH100">
        <f t="shared" si="35"/>
        <v>50</v>
      </c>
      <c r="AI100" t="str">
        <f t="shared" si="36"/>
        <v>Medium</v>
      </c>
    </row>
    <row r="101" spans="1:35">
      <c r="A101" t="s">
        <v>236</v>
      </c>
      <c r="B101" t="s">
        <v>40</v>
      </c>
      <c r="C101" t="s">
        <v>15</v>
      </c>
      <c r="D101" t="s">
        <v>25</v>
      </c>
      <c r="E101">
        <v>895</v>
      </c>
      <c r="F101">
        <v>248</v>
      </c>
      <c r="G101">
        <v>78</v>
      </c>
      <c r="H101">
        <v>17</v>
      </c>
      <c r="I101">
        <v>460.72</v>
      </c>
      <c r="J101">
        <v>0.22</v>
      </c>
      <c r="K101">
        <v>985</v>
      </c>
      <c r="L101">
        <v>0.73</v>
      </c>
      <c r="M101">
        <v>8</v>
      </c>
      <c r="N101" s="1">
        <f t="shared" si="19"/>
        <v>8.2666666666666675</v>
      </c>
      <c r="O101" s="1">
        <f>N101*(1+Control_Panel!$B$2)</f>
        <v>8.2666666666666675</v>
      </c>
      <c r="P101" s="12">
        <f t="shared" si="20"/>
        <v>0.31451612903225806</v>
      </c>
      <c r="Q101" t="str" cm="1">
        <f t="array" ref="Q101">_xlfn.IFS(P101&lt;0.2,"Stable",P101&lt;=0.5,"Moderate",P101&gt;0.5,"Highly veriable")</f>
        <v>Moderate</v>
      </c>
      <c r="R101" s="1">
        <f t="shared" si="21"/>
        <v>321.60223879817755</v>
      </c>
      <c r="S101" s="1">
        <f t="shared" si="22"/>
        <v>346.8689054648442</v>
      </c>
      <c r="T101" s="1">
        <f t="shared" si="23"/>
        <v>548.13109453515585</v>
      </c>
      <c r="U101" t="str">
        <f t="shared" si="24"/>
        <v xml:space="preserve"> Safe</v>
      </c>
      <c r="V101">
        <f t="shared" si="25"/>
        <v>2976</v>
      </c>
      <c r="W101" s="9">
        <f t="shared" si="26"/>
        <v>1371102.72</v>
      </c>
      <c r="Y101">
        <f t="shared" si="27"/>
        <v>3.0740150325657997E-3</v>
      </c>
      <c r="Z101" s="12">
        <f t="shared" si="37"/>
        <v>0.43590723616414767</v>
      </c>
      <c r="AA101" t="str">
        <f t="shared" si="28"/>
        <v>A</v>
      </c>
      <c r="AB101" t="str">
        <f t="shared" si="29"/>
        <v>Y</v>
      </c>
      <c r="AC101" t="str">
        <f t="shared" si="30"/>
        <v>AY</v>
      </c>
      <c r="AD101" t="str">
        <f t="shared" si="31"/>
        <v>Frequent Monitoring</v>
      </c>
      <c r="AE101" t="str">
        <f t="shared" si="32"/>
        <v>Every 2 Days</v>
      </c>
      <c r="AF101" t="str">
        <f t="shared" si="33"/>
        <v>Frequent Monitoring</v>
      </c>
      <c r="AG101" t="str">
        <f t="shared" si="34"/>
        <v>High</v>
      </c>
      <c r="AH101">
        <f t="shared" si="35"/>
        <v>70</v>
      </c>
      <c r="AI101" t="str">
        <f t="shared" si="36"/>
        <v>Critical</v>
      </c>
    </row>
    <row r="102" spans="1:35">
      <c r="A102" t="s">
        <v>196</v>
      </c>
      <c r="B102" t="s">
        <v>21</v>
      </c>
      <c r="C102" t="s">
        <v>22</v>
      </c>
      <c r="D102" t="s">
        <v>19</v>
      </c>
      <c r="E102">
        <v>698</v>
      </c>
      <c r="F102">
        <v>304</v>
      </c>
      <c r="G102">
        <v>53</v>
      </c>
      <c r="H102">
        <v>19</v>
      </c>
      <c r="I102">
        <v>375.17</v>
      </c>
      <c r="J102">
        <v>0.22</v>
      </c>
      <c r="K102">
        <v>833</v>
      </c>
      <c r="L102">
        <v>0.72</v>
      </c>
      <c r="M102">
        <v>7</v>
      </c>
      <c r="N102" s="1">
        <f t="shared" si="19"/>
        <v>10.133333333333333</v>
      </c>
      <c r="O102" s="1">
        <f>N102*(1+Control_Panel!$B$2)</f>
        <v>10.133333333333333</v>
      </c>
      <c r="P102" s="12">
        <f t="shared" si="20"/>
        <v>0.17434210526315788</v>
      </c>
      <c r="Q102" t="str" cm="1">
        <f t="array" ref="Q102">_xlfn.IFS(P102&lt;0.2,"Stable",P102&lt;=0.5,"Moderate",P102&gt;0.5,"Highly veriable")</f>
        <v>Stable</v>
      </c>
      <c r="R102" s="1">
        <f t="shared" si="21"/>
        <v>231.02164400765571</v>
      </c>
      <c r="S102" s="1">
        <f t="shared" si="22"/>
        <v>260.15497734098903</v>
      </c>
      <c r="T102" s="1">
        <f t="shared" si="23"/>
        <v>437.84502265901097</v>
      </c>
      <c r="U102" t="str">
        <f t="shared" si="24"/>
        <v xml:space="preserve"> Safe</v>
      </c>
      <c r="V102">
        <f t="shared" si="25"/>
        <v>3648</v>
      </c>
      <c r="W102" s="9">
        <f t="shared" si="26"/>
        <v>1368620.1600000001</v>
      </c>
      <c r="Y102">
        <f t="shared" si="27"/>
        <v>3.0684491280949474E-3</v>
      </c>
      <c r="Z102" s="12">
        <f t="shared" si="37"/>
        <v>0.43897568529224262</v>
      </c>
      <c r="AA102" t="str">
        <f t="shared" si="28"/>
        <v>A</v>
      </c>
      <c r="AB102" t="str">
        <f t="shared" si="29"/>
        <v>X</v>
      </c>
      <c r="AC102" t="str">
        <f t="shared" si="30"/>
        <v>AX</v>
      </c>
      <c r="AD102" t="str">
        <f t="shared" si="31"/>
        <v>Strict Control</v>
      </c>
      <c r="AE102" t="str">
        <f t="shared" si="32"/>
        <v>Daily</v>
      </c>
      <c r="AF102" t="str">
        <f t="shared" si="33"/>
        <v>Strict Replenishment</v>
      </c>
      <c r="AG102" t="str">
        <f t="shared" si="34"/>
        <v>Low</v>
      </c>
      <c r="AH102">
        <f t="shared" si="35"/>
        <v>50</v>
      </c>
      <c r="AI102" t="str">
        <f t="shared" si="36"/>
        <v>Medium</v>
      </c>
    </row>
    <row r="103" spans="1:35">
      <c r="A103" t="s">
        <v>226</v>
      </c>
      <c r="B103" t="s">
        <v>38</v>
      </c>
      <c r="C103" t="s">
        <v>22</v>
      </c>
      <c r="D103" t="s">
        <v>23</v>
      </c>
      <c r="E103">
        <v>116</v>
      </c>
      <c r="F103">
        <v>457</v>
      </c>
      <c r="G103">
        <v>34</v>
      </c>
      <c r="H103">
        <v>1</v>
      </c>
      <c r="I103">
        <v>249.16</v>
      </c>
      <c r="J103">
        <v>0.12</v>
      </c>
      <c r="K103">
        <v>680</v>
      </c>
      <c r="L103">
        <v>0.8</v>
      </c>
      <c r="M103">
        <v>5</v>
      </c>
      <c r="N103" s="1">
        <f t="shared" si="19"/>
        <v>15.233333333333333</v>
      </c>
      <c r="O103" s="1">
        <f>N103*(1+Control_Panel!$B$2)</f>
        <v>15.233333333333333</v>
      </c>
      <c r="P103" s="12">
        <f t="shared" si="20"/>
        <v>7.4398249452954049E-2</v>
      </c>
      <c r="Q103" t="str" cm="1">
        <f t="array" ref="Q103">_xlfn.IFS(P103&lt;0.2,"Stable",P103&lt;=0.5,"Moderate",P103&gt;0.5,"Highly veriable")</f>
        <v>Stable</v>
      </c>
      <c r="R103" s="1">
        <f t="shared" si="21"/>
        <v>34</v>
      </c>
      <c r="S103" s="1">
        <f t="shared" si="22"/>
        <v>50.233333333333334</v>
      </c>
      <c r="T103" s="1">
        <f t="shared" si="23"/>
        <v>65.766666666666666</v>
      </c>
      <c r="U103" t="str">
        <f t="shared" si="24"/>
        <v xml:space="preserve"> Safe</v>
      </c>
      <c r="V103">
        <f t="shared" si="25"/>
        <v>5484</v>
      </c>
      <c r="W103" s="9">
        <f t="shared" si="26"/>
        <v>1366393.44</v>
      </c>
      <c r="Y103">
        <f t="shared" si="27"/>
        <v>3.0634568174143038E-3</v>
      </c>
      <c r="Z103" s="12">
        <f t="shared" si="37"/>
        <v>0.44203914210965695</v>
      </c>
      <c r="AA103" t="str">
        <f t="shared" si="28"/>
        <v>A</v>
      </c>
      <c r="AB103" t="str">
        <f t="shared" si="29"/>
        <v>X</v>
      </c>
      <c r="AC103" t="str">
        <f t="shared" si="30"/>
        <v>AX</v>
      </c>
      <c r="AD103" t="str">
        <f t="shared" si="31"/>
        <v>Strict Control</v>
      </c>
      <c r="AE103" t="str">
        <f t="shared" si="32"/>
        <v>Daily</v>
      </c>
      <c r="AF103" t="str">
        <f t="shared" si="33"/>
        <v>Strict Replenishment</v>
      </c>
      <c r="AG103" t="str">
        <f t="shared" si="34"/>
        <v>Low</v>
      </c>
      <c r="AH103">
        <f t="shared" si="35"/>
        <v>50</v>
      </c>
      <c r="AI103" t="str">
        <f t="shared" si="36"/>
        <v>Medium</v>
      </c>
    </row>
    <row r="104" spans="1:35">
      <c r="A104" t="s">
        <v>255</v>
      </c>
      <c r="B104" t="s">
        <v>29</v>
      </c>
      <c r="C104" t="s">
        <v>15</v>
      </c>
      <c r="D104" t="s">
        <v>19</v>
      </c>
      <c r="E104">
        <v>500</v>
      </c>
      <c r="F104">
        <v>337</v>
      </c>
      <c r="G104">
        <v>34</v>
      </c>
      <c r="H104">
        <v>22</v>
      </c>
      <c r="I104">
        <v>337.41</v>
      </c>
      <c r="J104">
        <v>0.16</v>
      </c>
      <c r="K104">
        <v>163</v>
      </c>
      <c r="L104">
        <v>0.76</v>
      </c>
      <c r="M104">
        <v>2</v>
      </c>
      <c r="N104" s="1">
        <f t="shared" si="19"/>
        <v>11.233333333333333</v>
      </c>
      <c r="O104" s="1">
        <f>N104*(1+Control_Panel!$B$2)</f>
        <v>11.233333333333333</v>
      </c>
      <c r="P104" s="12">
        <f t="shared" si="20"/>
        <v>0.10089020771513353</v>
      </c>
      <c r="Q104" t="str" cm="1">
        <f t="array" ref="Q104">_xlfn.IFS(P104&lt;0.2,"Stable",P104&lt;=0.5,"Moderate",P104&gt;0.5,"Highly veriable")</f>
        <v>Stable</v>
      </c>
      <c r="R104" s="1">
        <f t="shared" si="21"/>
        <v>159.4741358339966</v>
      </c>
      <c r="S104" s="1">
        <f t="shared" si="22"/>
        <v>192.70746916732992</v>
      </c>
      <c r="T104" s="1">
        <f t="shared" si="23"/>
        <v>307.29253083267008</v>
      </c>
      <c r="U104" t="str">
        <f t="shared" si="24"/>
        <v xml:space="preserve"> Safe</v>
      </c>
      <c r="V104">
        <f t="shared" si="25"/>
        <v>4044</v>
      </c>
      <c r="W104" s="9">
        <f t="shared" si="26"/>
        <v>1364486.04</v>
      </c>
      <c r="Y104">
        <f t="shared" si="27"/>
        <v>3.0591804228104653E-3</v>
      </c>
      <c r="Z104" s="12">
        <f t="shared" si="37"/>
        <v>0.44509832253246739</v>
      </c>
      <c r="AA104" t="str">
        <f t="shared" si="28"/>
        <v>A</v>
      </c>
      <c r="AB104" t="str">
        <f t="shared" si="29"/>
        <v>X</v>
      </c>
      <c r="AC104" t="str">
        <f t="shared" si="30"/>
        <v>AX</v>
      </c>
      <c r="AD104" t="str">
        <f t="shared" si="31"/>
        <v>Strict Control</v>
      </c>
      <c r="AE104" t="str">
        <f t="shared" si="32"/>
        <v>Daily</v>
      </c>
      <c r="AF104" t="str">
        <f t="shared" si="33"/>
        <v>Strict Replenishment</v>
      </c>
      <c r="AG104" t="str">
        <f t="shared" si="34"/>
        <v>Low</v>
      </c>
      <c r="AH104">
        <f t="shared" si="35"/>
        <v>40</v>
      </c>
      <c r="AI104" t="str">
        <f t="shared" si="36"/>
        <v>Low</v>
      </c>
    </row>
    <row r="105" spans="1:35">
      <c r="A105" t="s">
        <v>382</v>
      </c>
      <c r="B105" t="s">
        <v>34</v>
      </c>
      <c r="C105" t="s">
        <v>22</v>
      </c>
      <c r="D105" t="s">
        <v>25</v>
      </c>
      <c r="E105">
        <v>818</v>
      </c>
      <c r="F105">
        <v>451</v>
      </c>
      <c r="G105">
        <v>82</v>
      </c>
      <c r="H105">
        <v>26</v>
      </c>
      <c r="I105">
        <v>250.33</v>
      </c>
      <c r="J105">
        <v>0.12</v>
      </c>
      <c r="K105">
        <v>613</v>
      </c>
      <c r="L105">
        <v>0.71</v>
      </c>
      <c r="M105">
        <v>3</v>
      </c>
      <c r="N105" s="1">
        <f t="shared" si="19"/>
        <v>15.033333333333333</v>
      </c>
      <c r="O105" s="1">
        <f>N105*(1+Control_Panel!$B$2)</f>
        <v>15.033333333333333</v>
      </c>
      <c r="P105" s="12">
        <f t="shared" si="20"/>
        <v>0.18181818181818182</v>
      </c>
      <c r="Q105" t="str" cm="1">
        <f t="array" ref="Q105">_xlfn.IFS(P105&lt;0.2,"Stable",P105&lt;=0.5,"Moderate",P105&gt;0.5,"Highly veriable")</f>
        <v>Stable</v>
      </c>
      <c r="R105" s="1">
        <f t="shared" si="21"/>
        <v>418.11960011460832</v>
      </c>
      <c r="S105" s="1">
        <f t="shared" si="22"/>
        <v>459.15293344794168</v>
      </c>
      <c r="T105" s="1">
        <f t="shared" si="23"/>
        <v>358.84706655205832</v>
      </c>
      <c r="U105" t="str">
        <f t="shared" si="24"/>
        <v xml:space="preserve"> Risk</v>
      </c>
      <c r="V105">
        <f t="shared" si="25"/>
        <v>5412</v>
      </c>
      <c r="W105" s="9">
        <f t="shared" si="26"/>
        <v>1354785.96</v>
      </c>
      <c r="Y105">
        <f t="shared" si="27"/>
        <v>3.0374328241060513E-3</v>
      </c>
      <c r="Z105" s="12">
        <f t="shared" si="37"/>
        <v>0.44813575535657346</v>
      </c>
      <c r="AA105" t="str">
        <f t="shared" si="28"/>
        <v>A</v>
      </c>
      <c r="AB105" t="str">
        <f t="shared" si="29"/>
        <v>X</v>
      </c>
      <c r="AC105" t="str">
        <f t="shared" si="30"/>
        <v>AX</v>
      </c>
      <c r="AD105" t="str">
        <f t="shared" si="31"/>
        <v>Strict Control</v>
      </c>
      <c r="AE105" t="str">
        <f t="shared" si="32"/>
        <v>Daily</v>
      </c>
      <c r="AF105" t="str">
        <f t="shared" si="33"/>
        <v>Strict Replenishment</v>
      </c>
      <c r="AG105" t="str">
        <f t="shared" si="34"/>
        <v>Low</v>
      </c>
      <c r="AH105">
        <f t="shared" si="35"/>
        <v>40</v>
      </c>
      <c r="AI105" t="str">
        <f t="shared" si="36"/>
        <v>Low</v>
      </c>
    </row>
    <row r="106" spans="1:35">
      <c r="A106" t="s">
        <v>90</v>
      </c>
      <c r="B106" t="s">
        <v>14</v>
      </c>
      <c r="C106" t="s">
        <v>15</v>
      </c>
      <c r="D106" t="s">
        <v>16</v>
      </c>
      <c r="E106">
        <v>723</v>
      </c>
      <c r="F106">
        <v>251</v>
      </c>
      <c r="G106">
        <v>66</v>
      </c>
      <c r="H106">
        <v>24</v>
      </c>
      <c r="I106">
        <v>449.23</v>
      </c>
      <c r="J106">
        <v>0.17</v>
      </c>
      <c r="K106">
        <v>640</v>
      </c>
      <c r="L106">
        <v>0.86</v>
      </c>
      <c r="M106">
        <v>5</v>
      </c>
      <c r="N106" s="1">
        <f t="shared" si="19"/>
        <v>8.3666666666666671</v>
      </c>
      <c r="O106" s="1">
        <f>N106*(1+Control_Panel!$B$2)</f>
        <v>8.3666666666666671</v>
      </c>
      <c r="P106" s="12">
        <f t="shared" si="20"/>
        <v>0.26294820717131473</v>
      </c>
      <c r="Q106" t="str" cm="1">
        <f t="array" ref="Q106">_xlfn.IFS(P106&lt;0.2,"Stable",P106&lt;=0.5,"Moderate",P106&gt;0.5,"Highly veriable")</f>
        <v>Moderate</v>
      </c>
      <c r="R106" s="1">
        <f t="shared" si="21"/>
        <v>323.33264604737946</v>
      </c>
      <c r="S106" s="1">
        <f t="shared" si="22"/>
        <v>355.69931271404613</v>
      </c>
      <c r="T106" s="1">
        <f t="shared" si="23"/>
        <v>367.30068728595387</v>
      </c>
      <c r="U106" t="str">
        <f t="shared" si="24"/>
        <v xml:space="preserve"> Safe</v>
      </c>
      <c r="V106">
        <f t="shared" si="25"/>
        <v>3012</v>
      </c>
      <c r="W106" s="9">
        <f t="shared" si="26"/>
        <v>1353080.76</v>
      </c>
      <c r="Y106">
        <f t="shared" si="27"/>
        <v>3.033609762305451E-3</v>
      </c>
      <c r="Z106" s="12">
        <f t="shared" si="37"/>
        <v>0.4511693651188789</v>
      </c>
      <c r="AA106" t="str">
        <f t="shared" si="28"/>
        <v>A</v>
      </c>
      <c r="AB106" t="str">
        <f t="shared" si="29"/>
        <v>Y</v>
      </c>
      <c r="AC106" t="str">
        <f t="shared" si="30"/>
        <v>AY</v>
      </c>
      <c r="AD106" t="str">
        <f t="shared" si="31"/>
        <v>Frequent Monitoring</v>
      </c>
      <c r="AE106" t="str">
        <f t="shared" si="32"/>
        <v>Every 2 Days</v>
      </c>
      <c r="AF106" t="str">
        <f t="shared" si="33"/>
        <v>Frequent Monitoring</v>
      </c>
      <c r="AG106" t="str">
        <f t="shared" si="34"/>
        <v>High</v>
      </c>
      <c r="AH106">
        <f t="shared" si="35"/>
        <v>60</v>
      </c>
      <c r="AI106" t="str">
        <f t="shared" si="36"/>
        <v>High</v>
      </c>
    </row>
    <row r="107" spans="1:35">
      <c r="A107" t="s">
        <v>212</v>
      </c>
      <c r="B107" t="s">
        <v>34</v>
      </c>
      <c r="C107" t="s">
        <v>22</v>
      </c>
      <c r="D107" t="s">
        <v>25</v>
      </c>
      <c r="E107">
        <v>737</v>
      </c>
      <c r="F107">
        <v>247</v>
      </c>
      <c r="G107">
        <v>50</v>
      </c>
      <c r="H107">
        <v>29</v>
      </c>
      <c r="I107">
        <v>453.52</v>
      </c>
      <c r="J107">
        <v>0.21</v>
      </c>
      <c r="K107">
        <v>253</v>
      </c>
      <c r="L107">
        <v>0.93</v>
      </c>
      <c r="M107">
        <v>3</v>
      </c>
      <c r="N107" s="1">
        <f t="shared" si="19"/>
        <v>8.2333333333333325</v>
      </c>
      <c r="O107" s="1">
        <f>N107*(1+Control_Panel!$B$2)</f>
        <v>8.2333333333333325</v>
      </c>
      <c r="P107" s="12">
        <f t="shared" si="20"/>
        <v>0.20242914979757085</v>
      </c>
      <c r="Q107" t="str" cm="1">
        <f t="array" ref="Q107">_xlfn.IFS(P107&lt;0.2,"Stable",P107&lt;=0.5,"Moderate",P107&gt;0.5,"Highly veriable")</f>
        <v>Moderate</v>
      </c>
      <c r="R107" s="1">
        <f t="shared" si="21"/>
        <v>269.2582403567252</v>
      </c>
      <c r="S107" s="1">
        <f t="shared" si="22"/>
        <v>306.49157369005854</v>
      </c>
      <c r="T107" s="1">
        <f t="shared" si="23"/>
        <v>430.50842630994146</v>
      </c>
      <c r="U107" t="str">
        <f t="shared" si="24"/>
        <v xml:space="preserve"> Safe</v>
      </c>
      <c r="V107">
        <f t="shared" si="25"/>
        <v>2964</v>
      </c>
      <c r="W107" s="9">
        <f t="shared" si="26"/>
        <v>1344233.28</v>
      </c>
      <c r="Y107">
        <f t="shared" si="27"/>
        <v>3.0137736945013366E-3</v>
      </c>
      <c r="Z107" s="12">
        <f t="shared" si="37"/>
        <v>0.45418313881338024</v>
      </c>
      <c r="AA107" t="str">
        <f t="shared" si="28"/>
        <v>A</v>
      </c>
      <c r="AB107" t="str">
        <f t="shared" si="29"/>
        <v>Y</v>
      </c>
      <c r="AC107" t="str">
        <f t="shared" si="30"/>
        <v>AY</v>
      </c>
      <c r="AD107" t="str">
        <f t="shared" si="31"/>
        <v>Frequent Monitoring</v>
      </c>
      <c r="AE107" t="str">
        <f t="shared" si="32"/>
        <v>Every 2 Days</v>
      </c>
      <c r="AF107" t="str">
        <f t="shared" si="33"/>
        <v>Frequent Monitoring</v>
      </c>
      <c r="AG107" t="str">
        <f t="shared" si="34"/>
        <v>High</v>
      </c>
      <c r="AH107">
        <f t="shared" si="35"/>
        <v>50</v>
      </c>
      <c r="AI107" t="str">
        <f t="shared" si="36"/>
        <v>Medium</v>
      </c>
    </row>
    <row r="108" spans="1:35">
      <c r="A108" t="s">
        <v>366</v>
      </c>
      <c r="B108" t="s">
        <v>38</v>
      </c>
      <c r="C108" t="s">
        <v>22</v>
      </c>
      <c r="D108" t="s">
        <v>23</v>
      </c>
      <c r="E108">
        <v>688</v>
      </c>
      <c r="F108">
        <v>452</v>
      </c>
      <c r="G108">
        <v>91</v>
      </c>
      <c r="H108">
        <v>2</v>
      </c>
      <c r="I108">
        <v>247.73</v>
      </c>
      <c r="J108">
        <v>0.09</v>
      </c>
      <c r="K108">
        <v>293</v>
      </c>
      <c r="L108">
        <v>0.94</v>
      </c>
      <c r="M108">
        <v>3</v>
      </c>
      <c r="N108" s="1">
        <f t="shared" si="19"/>
        <v>15.066666666666666</v>
      </c>
      <c r="O108" s="1">
        <f>N108*(1+Control_Panel!$B$2)</f>
        <v>15.066666666666666</v>
      </c>
      <c r="P108" s="12">
        <f t="shared" si="20"/>
        <v>0.20132743362831859</v>
      </c>
      <c r="Q108" t="str" cm="1">
        <f t="array" ref="Q108">_xlfn.IFS(P108&lt;0.2,"Stable",P108&lt;=0.5,"Moderate",P108&gt;0.5,"Highly veriable")</f>
        <v>Moderate</v>
      </c>
      <c r="R108" s="1">
        <f t="shared" si="21"/>
        <v>128.69343417595167</v>
      </c>
      <c r="S108" s="1">
        <f t="shared" si="22"/>
        <v>145.76010084261833</v>
      </c>
      <c r="T108" s="1">
        <f t="shared" si="23"/>
        <v>542.23989915738161</v>
      </c>
      <c r="U108" t="str">
        <f t="shared" si="24"/>
        <v xml:space="preserve"> Safe</v>
      </c>
      <c r="V108">
        <f t="shared" si="25"/>
        <v>5424</v>
      </c>
      <c r="W108" s="9">
        <f t="shared" si="26"/>
        <v>1343687.52</v>
      </c>
      <c r="Y108">
        <f t="shared" si="27"/>
        <v>3.0125500994929531E-3</v>
      </c>
      <c r="Z108" s="12">
        <f t="shared" si="37"/>
        <v>0.45719568891287321</v>
      </c>
      <c r="AA108" t="str">
        <f t="shared" si="28"/>
        <v>A</v>
      </c>
      <c r="AB108" t="str">
        <f t="shared" si="29"/>
        <v>Y</v>
      </c>
      <c r="AC108" t="str">
        <f t="shared" si="30"/>
        <v>AY</v>
      </c>
      <c r="AD108" t="str">
        <f t="shared" si="31"/>
        <v>Frequent Monitoring</v>
      </c>
      <c r="AE108" t="str">
        <f t="shared" si="32"/>
        <v>Every 2 Days</v>
      </c>
      <c r="AF108" t="str">
        <f t="shared" si="33"/>
        <v>Frequent Monitoring</v>
      </c>
      <c r="AG108" t="str">
        <f t="shared" si="34"/>
        <v>High</v>
      </c>
      <c r="AH108">
        <f t="shared" si="35"/>
        <v>50</v>
      </c>
      <c r="AI108" t="str">
        <f t="shared" si="36"/>
        <v>Medium</v>
      </c>
    </row>
    <row r="109" spans="1:35">
      <c r="A109" t="s">
        <v>65</v>
      </c>
      <c r="B109" t="s">
        <v>34</v>
      </c>
      <c r="C109" t="s">
        <v>15</v>
      </c>
      <c r="D109" t="s">
        <v>25</v>
      </c>
      <c r="E109">
        <v>885</v>
      </c>
      <c r="F109">
        <v>265</v>
      </c>
      <c r="G109">
        <v>61</v>
      </c>
      <c r="H109">
        <v>12</v>
      </c>
      <c r="I109">
        <v>419.95</v>
      </c>
      <c r="J109">
        <v>7.0000000000000007E-2</v>
      </c>
      <c r="K109">
        <v>169</v>
      </c>
      <c r="L109">
        <v>1</v>
      </c>
      <c r="M109">
        <v>5</v>
      </c>
      <c r="N109" s="1">
        <f t="shared" si="19"/>
        <v>8.8333333333333339</v>
      </c>
      <c r="O109" s="1">
        <f>N109*(1+Control_Panel!$B$2)</f>
        <v>8.8333333333333339</v>
      </c>
      <c r="P109" s="12">
        <f t="shared" si="20"/>
        <v>0.23018867924528302</v>
      </c>
      <c r="Q109" t="str" cm="1">
        <f t="array" ref="Q109">_xlfn.IFS(P109&lt;0.2,"Stable",P109&lt;=0.5,"Moderate",P109&gt;0.5,"Highly veriable")</f>
        <v>Moderate</v>
      </c>
      <c r="R109" s="1">
        <f t="shared" si="21"/>
        <v>211.31019852340302</v>
      </c>
      <c r="S109" s="1">
        <f t="shared" si="22"/>
        <v>232.14353185673636</v>
      </c>
      <c r="T109" s="1">
        <f t="shared" si="23"/>
        <v>652.85646814326367</v>
      </c>
      <c r="U109" t="str">
        <f t="shared" si="24"/>
        <v xml:space="preserve"> Safe</v>
      </c>
      <c r="V109">
        <f t="shared" si="25"/>
        <v>3180</v>
      </c>
      <c r="W109" s="9">
        <f t="shared" si="26"/>
        <v>1335441</v>
      </c>
      <c r="Y109">
        <f t="shared" si="27"/>
        <v>2.9940613852073054E-3</v>
      </c>
      <c r="Z109" s="12">
        <f t="shared" si="37"/>
        <v>0.46018975029808051</v>
      </c>
      <c r="AA109" t="str">
        <f t="shared" si="28"/>
        <v>A</v>
      </c>
      <c r="AB109" t="str">
        <f t="shared" si="29"/>
        <v>Y</v>
      </c>
      <c r="AC109" t="str">
        <f t="shared" si="30"/>
        <v>AY</v>
      </c>
      <c r="AD109" t="str">
        <f t="shared" si="31"/>
        <v>Frequent Monitoring</v>
      </c>
      <c r="AE109" t="str">
        <f t="shared" si="32"/>
        <v>Every 2 Days</v>
      </c>
      <c r="AF109" t="str">
        <f t="shared" si="33"/>
        <v>Frequent Monitoring</v>
      </c>
      <c r="AG109" t="str">
        <f t="shared" si="34"/>
        <v>High</v>
      </c>
      <c r="AH109">
        <f t="shared" si="35"/>
        <v>60</v>
      </c>
      <c r="AI109" t="str">
        <f t="shared" si="36"/>
        <v>High</v>
      </c>
    </row>
    <row r="110" spans="1:35">
      <c r="A110" t="s">
        <v>61</v>
      </c>
      <c r="B110" t="s">
        <v>36</v>
      </c>
      <c r="C110" t="s">
        <v>22</v>
      </c>
      <c r="D110" t="s">
        <v>16</v>
      </c>
      <c r="E110">
        <v>879</v>
      </c>
      <c r="F110">
        <v>367</v>
      </c>
      <c r="G110">
        <v>42</v>
      </c>
      <c r="H110">
        <v>15</v>
      </c>
      <c r="I110">
        <v>301.06</v>
      </c>
      <c r="J110">
        <v>0.11</v>
      </c>
      <c r="K110">
        <v>498</v>
      </c>
      <c r="L110">
        <v>1</v>
      </c>
      <c r="M110">
        <v>9</v>
      </c>
      <c r="N110" s="1">
        <f t="shared" si="19"/>
        <v>12.233333333333333</v>
      </c>
      <c r="O110" s="1">
        <f>N110*(1+Control_Panel!$B$2)</f>
        <v>12.233333333333333</v>
      </c>
      <c r="P110" s="12">
        <f t="shared" si="20"/>
        <v>0.11444141689373297</v>
      </c>
      <c r="Q110" t="str" cm="1">
        <f t="array" ref="Q110">_xlfn.IFS(P110&lt;0.2,"Stable",P110&lt;=0.5,"Moderate",P110&gt;0.5,"Highly veriable")</f>
        <v>Stable</v>
      </c>
      <c r="R110" s="1">
        <f t="shared" si="21"/>
        <v>162.66530054071151</v>
      </c>
      <c r="S110" s="1">
        <f t="shared" si="22"/>
        <v>189.89863387404483</v>
      </c>
      <c r="T110" s="1">
        <f t="shared" si="23"/>
        <v>689.10136612595511</v>
      </c>
      <c r="U110" t="str">
        <f t="shared" si="24"/>
        <v xml:space="preserve"> Safe</v>
      </c>
      <c r="V110">
        <f t="shared" si="25"/>
        <v>4404</v>
      </c>
      <c r="W110" s="9">
        <f t="shared" si="26"/>
        <v>1325868.24</v>
      </c>
      <c r="Y110">
        <f t="shared" si="27"/>
        <v>2.9725992381967993E-3</v>
      </c>
      <c r="Z110" s="12">
        <f t="shared" si="37"/>
        <v>0.46316234953627733</v>
      </c>
      <c r="AA110" t="str">
        <f t="shared" si="28"/>
        <v>A</v>
      </c>
      <c r="AB110" t="str">
        <f t="shared" si="29"/>
        <v>X</v>
      </c>
      <c r="AC110" t="str">
        <f t="shared" si="30"/>
        <v>AX</v>
      </c>
      <c r="AD110" t="str">
        <f t="shared" si="31"/>
        <v>Strict Control</v>
      </c>
      <c r="AE110" t="str">
        <f t="shared" si="32"/>
        <v>Daily</v>
      </c>
      <c r="AF110" t="str">
        <f t="shared" si="33"/>
        <v>Strict Replenishment</v>
      </c>
      <c r="AG110" t="str">
        <f t="shared" si="34"/>
        <v>Low</v>
      </c>
      <c r="AH110">
        <f t="shared" si="35"/>
        <v>60</v>
      </c>
      <c r="AI110" t="str">
        <f t="shared" si="36"/>
        <v>High</v>
      </c>
    </row>
    <row r="111" spans="1:35">
      <c r="A111" t="s">
        <v>369</v>
      </c>
      <c r="B111" t="s">
        <v>36</v>
      </c>
      <c r="C111" t="s">
        <v>15</v>
      </c>
      <c r="D111" t="s">
        <v>41</v>
      </c>
      <c r="E111">
        <v>397</v>
      </c>
      <c r="F111">
        <v>417</v>
      </c>
      <c r="G111">
        <v>64</v>
      </c>
      <c r="H111">
        <v>21</v>
      </c>
      <c r="I111">
        <v>263.77</v>
      </c>
      <c r="J111">
        <v>0.08</v>
      </c>
      <c r="K111">
        <v>699</v>
      </c>
      <c r="L111">
        <v>0.8</v>
      </c>
      <c r="M111">
        <v>8</v>
      </c>
      <c r="N111" s="1">
        <f t="shared" si="19"/>
        <v>13.9</v>
      </c>
      <c r="O111" s="1">
        <f>N111*(1+Control_Panel!$B$2)</f>
        <v>13.9</v>
      </c>
      <c r="P111" s="12">
        <f t="shared" si="20"/>
        <v>0.15347721822541965</v>
      </c>
      <c r="Q111" t="str" cm="1">
        <f t="array" ref="Q111">_xlfn.IFS(P111&lt;0.2,"Stable",P111&lt;=0.5,"Moderate",P111&gt;0.5,"Highly veriable")</f>
        <v>Stable</v>
      </c>
      <c r="R111" s="1">
        <f t="shared" si="21"/>
        <v>293.28484447717375</v>
      </c>
      <c r="S111" s="1">
        <f t="shared" si="22"/>
        <v>328.18484447717373</v>
      </c>
      <c r="T111" s="1">
        <f t="shared" si="23"/>
        <v>68.815155522826274</v>
      </c>
      <c r="U111" t="str">
        <f t="shared" si="24"/>
        <v xml:space="preserve"> Risk</v>
      </c>
      <c r="V111">
        <f t="shared" si="25"/>
        <v>5004</v>
      </c>
      <c r="W111" s="9">
        <f t="shared" si="26"/>
        <v>1319905.0799999998</v>
      </c>
      <c r="Y111">
        <f t="shared" si="27"/>
        <v>2.9592298215847489E-3</v>
      </c>
      <c r="Z111" s="12">
        <f t="shared" si="37"/>
        <v>0.46612157935786208</v>
      </c>
      <c r="AA111" t="str">
        <f t="shared" si="28"/>
        <v>A</v>
      </c>
      <c r="AB111" t="str">
        <f t="shared" si="29"/>
        <v>X</v>
      </c>
      <c r="AC111" t="str">
        <f t="shared" si="30"/>
        <v>AX</v>
      </c>
      <c r="AD111" t="str">
        <f t="shared" si="31"/>
        <v>Strict Control</v>
      </c>
      <c r="AE111" t="str">
        <f t="shared" si="32"/>
        <v>Daily</v>
      </c>
      <c r="AF111" t="str">
        <f t="shared" si="33"/>
        <v>Strict Replenishment</v>
      </c>
      <c r="AG111" t="str">
        <f t="shared" si="34"/>
        <v>Low</v>
      </c>
      <c r="AH111">
        <f t="shared" si="35"/>
        <v>60</v>
      </c>
      <c r="AI111" t="str">
        <f t="shared" si="36"/>
        <v>High</v>
      </c>
    </row>
    <row r="112" spans="1:35">
      <c r="A112" t="s">
        <v>396</v>
      </c>
      <c r="B112" t="s">
        <v>29</v>
      </c>
      <c r="C112" t="s">
        <v>15</v>
      </c>
      <c r="D112" t="s">
        <v>23</v>
      </c>
      <c r="E112">
        <v>817</v>
      </c>
      <c r="F112">
        <v>442</v>
      </c>
      <c r="G112">
        <v>74</v>
      </c>
      <c r="H112">
        <v>25</v>
      </c>
      <c r="I112">
        <v>248.74</v>
      </c>
      <c r="J112">
        <v>0.21</v>
      </c>
      <c r="K112">
        <v>301</v>
      </c>
      <c r="L112">
        <v>0.72</v>
      </c>
      <c r="M112">
        <v>5</v>
      </c>
      <c r="N112" s="1">
        <f t="shared" si="19"/>
        <v>14.733333333333333</v>
      </c>
      <c r="O112" s="1">
        <f>N112*(1+Control_Panel!$B$2)</f>
        <v>14.733333333333333</v>
      </c>
      <c r="P112" s="12">
        <f t="shared" si="20"/>
        <v>0.167420814479638</v>
      </c>
      <c r="Q112" t="str" cm="1">
        <f t="array" ref="Q112">_xlfn.IFS(P112&lt;0.2,"Stable",P112&lt;=0.5,"Moderate",P112&gt;0.5,"Highly veriable")</f>
        <v>Stable</v>
      </c>
      <c r="R112" s="1">
        <f t="shared" si="21"/>
        <v>370</v>
      </c>
      <c r="S112" s="1">
        <f t="shared" si="22"/>
        <v>409.73333333333335</v>
      </c>
      <c r="T112" s="1">
        <f t="shared" si="23"/>
        <v>407.26666666666665</v>
      </c>
      <c r="U112" t="str">
        <f t="shared" si="24"/>
        <v xml:space="preserve"> Safe</v>
      </c>
      <c r="V112">
        <f t="shared" si="25"/>
        <v>5304</v>
      </c>
      <c r="W112" s="9">
        <f t="shared" si="26"/>
        <v>1319316.96</v>
      </c>
      <c r="Y112">
        <f t="shared" si="27"/>
        <v>2.9579112553718891E-3</v>
      </c>
      <c r="Z112" s="12">
        <f t="shared" si="37"/>
        <v>0.46907949061323395</v>
      </c>
      <c r="AA112" t="str">
        <f t="shared" si="28"/>
        <v>A</v>
      </c>
      <c r="AB112" t="str">
        <f t="shared" si="29"/>
        <v>X</v>
      </c>
      <c r="AC112" t="str">
        <f t="shared" si="30"/>
        <v>AX</v>
      </c>
      <c r="AD112" t="str">
        <f t="shared" si="31"/>
        <v>Strict Control</v>
      </c>
      <c r="AE112" t="str">
        <f t="shared" si="32"/>
        <v>Daily</v>
      </c>
      <c r="AF112" t="str">
        <f t="shared" si="33"/>
        <v>Strict Replenishment</v>
      </c>
      <c r="AG112" t="str">
        <f t="shared" si="34"/>
        <v>Low</v>
      </c>
      <c r="AH112">
        <f t="shared" si="35"/>
        <v>50</v>
      </c>
      <c r="AI112" t="str">
        <f t="shared" si="36"/>
        <v>Medium</v>
      </c>
    </row>
    <row r="113" spans="1:35">
      <c r="A113" t="s">
        <v>97</v>
      </c>
      <c r="B113" t="s">
        <v>29</v>
      </c>
      <c r="C113" t="s">
        <v>22</v>
      </c>
      <c r="D113" t="s">
        <v>16</v>
      </c>
      <c r="E113">
        <v>890</v>
      </c>
      <c r="F113">
        <v>276</v>
      </c>
      <c r="G113">
        <v>73</v>
      </c>
      <c r="H113">
        <v>29</v>
      </c>
      <c r="I113">
        <v>397.38</v>
      </c>
      <c r="J113">
        <v>0.12</v>
      </c>
      <c r="K113">
        <v>890</v>
      </c>
      <c r="L113">
        <v>0.95</v>
      </c>
      <c r="M113">
        <v>3</v>
      </c>
      <c r="N113" s="1">
        <f t="shared" si="19"/>
        <v>9.1999999999999993</v>
      </c>
      <c r="O113" s="1">
        <f>N113*(1+Control_Panel!$B$2)</f>
        <v>9.1999999999999993</v>
      </c>
      <c r="P113" s="12">
        <f t="shared" si="20"/>
        <v>0.26449275362318841</v>
      </c>
      <c r="Q113" t="str" cm="1">
        <f t="array" ref="Q113">_xlfn.IFS(P113&lt;0.2,"Stable",P113&lt;=0.5,"Moderate",P113&gt;0.5,"Highly veriable")</f>
        <v>Moderate</v>
      </c>
      <c r="R113" s="1">
        <f t="shared" si="21"/>
        <v>393.11703092081876</v>
      </c>
      <c r="S113" s="1">
        <f t="shared" si="22"/>
        <v>431.31703092081875</v>
      </c>
      <c r="T113" s="1">
        <f t="shared" si="23"/>
        <v>458.68296907918125</v>
      </c>
      <c r="U113" t="str">
        <f t="shared" si="24"/>
        <v xml:space="preserve"> Safe</v>
      </c>
      <c r="V113">
        <f t="shared" si="25"/>
        <v>3312</v>
      </c>
      <c r="W113" s="9">
        <f t="shared" si="26"/>
        <v>1316122.56</v>
      </c>
      <c r="Y113">
        <f t="shared" si="27"/>
        <v>2.9507494042014474E-3</v>
      </c>
      <c r="Z113" s="12">
        <f t="shared" si="37"/>
        <v>0.47203024001743538</v>
      </c>
      <c r="AA113" t="str">
        <f t="shared" si="28"/>
        <v>A</v>
      </c>
      <c r="AB113" t="str">
        <f t="shared" si="29"/>
        <v>Y</v>
      </c>
      <c r="AC113" t="str">
        <f t="shared" si="30"/>
        <v>AY</v>
      </c>
      <c r="AD113" t="str">
        <f t="shared" si="31"/>
        <v>Frequent Monitoring</v>
      </c>
      <c r="AE113" t="str">
        <f t="shared" si="32"/>
        <v>Every 2 Days</v>
      </c>
      <c r="AF113" t="str">
        <f t="shared" si="33"/>
        <v>Frequent Monitoring</v>
      </c>
      <c r="AG113" t="str">
        <f t="shared" si="34"/>
        <v>High</v>
      </c>
      <c r="AH113">
        <f t="shared" si="35"/>
        <v>50</v>
      </c>
      <c r="AI113" t="str">
        <f t="shared" si="36"/>
        <v>Medium</v>
      </c>
    </row>
    <row r="114" spans="1:35">
      <c r="A114" t="s">
        <v>527</v>
      </c>
      <c r="B114" t="s">
        <v>34</v>
      </c>
      <c r="C114" t="s">
        <v>15</v>
      </c>
      <c r="D114" t="s">
        <v>16</v>
      </c>
      <c r="E114">
        <v>471</v>
      </c>
      <c r="F114">
        <v>282</v>
      </c>
      <c r="G114">
        <v>7</v>
      </c>
      <c r="H114">
        <v>30</v>
      </c>
      <c r="I114">
        <v>388.55</v>
      </c>
      <c r="J114">
        <v>0.16</v>
      </c>
      <c r="K114">
        <v>571</v>
      </c>
      <c r="L114">
        <v>0.78</v>
      </c>
      <c r="M114">
        <v>2</v>
      </c>
      <c r="N114" s="1">
        <f t="shared" si="19"/>
        <v>9.4</v>
      </c>
      <c r="O114" s="1">
        <f>N114*(1+Control_Panel!$B$2)</f>
        <v>9.4</v>
      </c>
      <c r="P114" s="12">
        <f t="shared" si="20"/>
        <v>2.4822695035460994E-2</v>
      </c>
      <c r="Q114" t="str" cm="1">
        <f t="array" ref="Q114">_xlfn.IFS(P114&lt;0.2,"Stable",P114&lt;=0.5,"Moderate",P114&gt;0.5,"Highly veriable")</f>
        <v>Stable</v>
      </c>
      <c r="R114" s="1">
        <f t="shared" si="21"/>
        <v>38.340579025361627</v>
      </c>
      <c r="S114" s="1">
        <f t="shared" si="22"/>
        <v>77.740579025361626</v>
      </c>
      <c r="T114" s="1">
        <f t="shared" si="23"/>
        <v>393.25942097463837</v>
      </c>
      <c r="U114" t="str">
        <f t="shared" si="24"/>
        <v xml:space="preserve"> Safe</v>
      </c>
      <c r="V114">
        <f t="shared" si="25"/>
        <v>3384</v>
      </c>
      <c r="W114" s="9">
        <f t="shared" si="26"/>
        <v>1314853.2</v>
      </c>
      <c r="Y114">
        <f t="shared" si="27"/>
        <v>2.947903496550022E-3</v>
      </c>
      <c r="Z114" s="12">
        <f t="shared" si="37"/>
        <v>0.47497814351398537</v>
      </c>
      <c r="AA114" t="str">
        <f t="shared" si="28"/>
        <v>A</v>
      </c>
      <c r="AB114" t="str">
        <f t="shared" si="29"/>
        <v>X</v>
      </c>
      <c r="AC114" t="str">
        <f t="shared" si="30"/>
        <v>AX</v>
      </c>
      <c r="AD114" t="str">
        <f t="shared" si="31"/>
        <v>Strict Control</v>
      </c>
      <c r="AE114" t="str">
        <f t="shared" si="32"/>
        <v>Daily</v>
      </c>
      <c r="AF114" t="str">
        <f t="shared" si="33"/>
        <v>Strict Replenishment</v>
      </c>
      <c r="AG114" t="str">
        <f t="shared" si="34"/>
        <v>Low</v>
      </c>
      <c r="AH114">
        <f t="shared" si="35"/>
        <v>40</v>
      </c>
      <c r="AI114" t="str">
        <f t="shared" si="36"/>
        <v>Low</v>
      </c>
    </row>
    <row r="115" spans="1:35">
      <c r="A115" t="s">
        <v>262</v>
      </c>
      <c r="B115" t="s">
        <v>40</v>
      </c>
      <c r="C115" t="s">
        <v>22</v>
      </c>
      <c r="D115" t="s">
        <v>19</v>
      </c>
      <c r="E115">
        <v>37</v>
      </c>
      <c r="F115">
        <v>269</v>
      </c>
      <c r="G115">
        <v>65</v>
      </c>
      <c r="H115">
        <v>6</v>
      </c>
      <c r="I115">
        <v>405.74</v>
      </c>
      <c r="J115">
        <v>0.24</v>
      </c>
      <c r="K115">
        <v>890</v>
      </c>
      <c r="L115">
        <v>0.89</v>
      </c>
      <c r="M115">
        <v>5</v>
      </c>
      <c r="N115" s="1">
        <f t="shared" si="19"/>
        <v>8.9666666666666668</v>
      </c>
      <c r="O115" s="1">
        <f>N115*(1+Control_Panel!$B$2)</f>
        <v>8.9666666666666668</v>
      </c>
      <c r="P115" s="12">
        <f t="shared" si="20"/>
        <v>0.24163568773234201</v>
      </c>
      <c r="Q115" t="str" cm="1">
        <f t="array" ref="Q115">_xlfn.IFS(P115&lt;0.2,"Stable",P115&lt;=0.5,"Moderate",P115&gt;0.5,"Highly veriable")</f>
        <v>Moderate</v>
      </c>
      <c r="R115" s="1">
        <f t="shared" si="21"/>
        <v>159.21683328090657</v>
      </c>
      <c r="S115" s="1">
        <f t="shared" si="22"/>
        <v>174.18349994757324</v>
      </c>
      <c r="T115" s="1">
        <f t="shared" si="23"/>
        <v>-137.18349994757324</v>
      </c>
      <c r="U115" t="str">
        <f t="shared" si="24"/>
        <v xml:space="preserve"> Need to Order</v>
      </c>
      <c r="V115">
        <f t="shared" si="25"/>
        <v>3228</v>
      </c>
      <c r="W115" s="9">
        <f t="shared" si="26"/>
        <v>1309728.72</v>
      </c>
      <c r="Y115">
        <f t="shared" si="27"/>
        <v>2.9364144021705122E-3</v>
      </c>
      <c r="Z115" s="12">
        <f t="shared" si="37"/>
        <v>0.47791455791615589</v>
      </c>
      <c r="AA115" t="str">
        <f t="shared" si="28"/>
        <v>A</v>
      </c>
      <c r="AB115" t="str">
        <f t="shared" si="29"/>
        <v>Y</v>
      </c>
      <c r="AC115" t="str">
        <f t="shared" si="30"/>
        <v>AY</v>
      </c>
      <c r="AD115" t="str">
        <f t="shared" si="31"/>
        <v>Frequent Monitoring</v>
      </c>
      <c r="AE115" t="str">
        <f t="shared" si="32"/>
        <v>Every 2 Days</v>
      </c>
      <c r="AF115" t="str">
        <f t="shared" si="33"/>
        <v>Frequent Monitoring</v>
      </c>
      <c r="AG115" t="str">
        <f t="shared" si="34"/>
        <v>High</v>
      </c>
      <c r="AH115">
        <f t="shared" si="35"/>
        <v>60</v>
      </c>
      <c r="AI115" t="str">
        <f t="shared" si="36"/>
        <v>High</v>
      </c>
    </row>
    <row r="116" spans="1:35">
      <c r="A116" t="s">
        <v>347</v>
      </c>
      <c r="B116" t="s">
        <v>34</v>
      </c>
      <c r="C116" t="s">
        <v>22</v>
      </c>
      <c r="D116" t="s">
        <v>25</v>
      </c>
      <c r="E116">
        <v>408</v>
      </c>
      <c r="F116">
        <v>425</v>
      </c>
      <c r="G116">
        <v>12</v>
      </c>
      <c r="H116">
        <v>11</v>
      </c>
      <c r="I116">
        <v>256.74</v>
      </c>
      <c r="J116">
        <v>0.2</v>
      </c>
      <c r="K116">
        <v>828</v>
      </c>
      <c r="L116">
        <v>0.77</v>
      </c>
      <c r="M116">
        <v>5</v>
      </c>
      <c r="N116" s="1">
        <f t="shared" si="19"/>
        <v>14.166666666666666</v>
      </c>
      <c r="O116" s="1">
        <f>N116*(1+Control_Panel!$B$2)</f>
        <v>14.166666666666666</v>
      </c>
      <c r="P116" s="12">
        <f t="shared" si="20"/>
        <v>2.823529411764706E-2</v>
      </c>
      <c r="Q116" t="str" cm="1">
        <f t="array" ref="Q116">_xlfn.IFS(P116&lt;0.2,"Stable",P116&lt;=0.5,"Moderate",P116&gt;0.5,"Highly veriable")</f>
        <v>Stable</v>
      </c>
      <c r="R116" s="1">
        <f t="shared" si="21"/>
        <v>39.799497484264798</v>
      </c>
      <c r="S116" s="1">
        <f t="shared" si="22"/>
        <v>64.966164150931462</v>
      </c>
      <c r="T116" s="1">
        <f t="shared" si="23"/>
        <v>343.03383584906851</v>
      </c>
      <c r="U116" t="str">
        <f t="shared" si="24"/>
        <v xml:space="preserve"> Safe</v>
      </c>
      <c r="V116">
        <f t="shared" si="25"/>
        <v>5100</v>
      </c>
      <c r="W116" s="9">
        <f t="shared" si="26"/>
        <v>1309374</v>
      </c>
      <c r="Y116">
        <f t="shared" si="27"/>
        <v>2.935619119223111E-3</v>
      </c>
      <c r="Z116" s="12">
        <f t="shared" si="37"/>
        <v>0.48085017703537902</v>
      </c>
      <c r="AA116" t="str">
        <f t="shared" si="28"/>
        <v>A</v>
      </c>
      <c r="AB116" t="str">
        <f t="shared" si="29"/>
        <v>X</v>
      </c>
      <c r="AC116" t="str">
        <f t="shared" si="30"/>
        <v>AX</v>
      </c>
      <c r="AD116" t="str">
        <f t="shared" si="31"/>
        <v>Strict Control</v>
      </c>
      <c r="AE116" t="str">
        <f t="shared" si="32"/>
        <v>Daily</v>
      </c>
      <c r="AF116" t="str">
        <f t="shared" si="33"/>
        <v>Strict Replenishment</v>
      </c>
      <c r="AG116" t="str">
        <f t="shared" si="34"/>
        <v>Low</v>
      </c>
      <c r="AH116">
        <f t="shared" si="35"/>
        <v>50</v>
      </c>
      <c r="AI116" t="str">
        <f t="shared" si="36"/>
        <v>Medium</v>
      </c>
    </row>
    <row r="117" spans="1:35">
      <c r="A117" t="s">
        <v>120</v>
      </c>
      <c r="B117" t="s">
        <v>40</v>
      </c>
      <c r="C117" t="s">
        <v>22</v>
      </c>
      <c r="D117" t="s">
        <v>41</v>
      </c>
      <c r="E117">
        <v>429</v>
      </c>
      <c r="F117">
        <v>381</v>
      </c>
      <c r="G117">
        <v>16</v>
      </c>
      <c r="H117">
        <v>28</v>
      </c>
      <c r="I117">
        <v>284.31</v>
      </c>
      <c r="J117">
        <v>0.1</v>
      </c>
      <c r="K117">
        <v>302</v>
      </c>
      <c r="L117">
        <v>1</v>
      </c>
      <c r="M117">
        <v>1</v>
      </c>
      <c r="N117" s="1">
        <f t="shared" si="19"/>
        <v>12.7</v>
      </c>
      <c r="O117" s="1">
        <f>N117*(1+Control_Panel!$B$2)</f>
        <v>12.7</v>
      </c>
      <c r="P117" s="12">
        <f t="shared" si="20"/>
        <v>4.1994750656167978E-2</v>
      </c>
      <c r="Q117" t="str" cm="1">
        <f t="array" ref="Q117">_xlfn.IFS(P117&lt;0.2,"Stable",P117&lt;=0.5,"Moderate",P117&gt;0.5,"Highly veriable")</f>
        <v>Stable</v>
      </c>
      <c r="R117" s="1">
        <f t="shared" si="21"/>
        <v>84.664041954066903</v>
      </c>
      <c r="S117" s="1">
        <f t="shared" si="22"/>
        <v>125.36404195406691</v>
      </c>
      <c r="T117" s="1">
        <f t="shared" si="23"/>
        <v>303.63595804593308</v>
      </c>
      <c r="U117" t="str">
        <f t="shared" si="24"/>
        <v xml:space="preserve"> Safe</v>
      </c>
      <c r="V117">
        <f t="shared" si="25"/>
        <v>4572</v>
      </c>
      <c r="W117" s="9">
        <f t="shared" si="26"/>
        <v>1299865.32</v>
      </c>
      <c r="Y117">
        <f t="shared" si="27"/>
        <v>2.9143006397003967E-3</v>
      </c>
      <c r="Z117" s="12">
        <f t="shared" si="37"/>
        <v>0.48376447767507941</v>
      </c>
      <c r="AA117" t="str">
        <f t="shared" si="28"/>
        <v>A</v>
      </c>
      <c r="AB117" t="str">
        <f t="shared" si="29"/>
        <v>X</v>
      </c>
      <c r="AC117" t="str">
        <f t="shared" si="30"/>
        <v>AX</v>
      </c>
      <c r="AD117" t="str">
        <f t="shared" si="31"/>
        <v>Strict Control</v>
      </c>
      <c r="AE117" t="str">
        <f t="shared" si="32"/>
        <v>Daily</v>
      </c>
      <c r="AF117" t="str">
        <f t="shared" si="33"/>
        <v>Strict Replenishment</v>
      </c>
      <c r="AG117" t="str">
        <f t="shared" si="34"/>
        <v>Low</v>
      </c>
      <c r="AH117">
        <f t="shared" si="35"/>
        <v>40</v>
      </c>
      <c r="AI117" t="str">
        <f t="shared" si="36"/>
        <v>Low</v>
      </c>
    </row>
    <row r="118" spans="1:35">
      <c r="A118" t="s">
        <v>203</v>
      </c>
      <c r="B118" t="s">
        <v>21</v>
      </c>
      <c r="C118" t="s">
        <v>15</v>
      </c>
      <c r="D118" t="s">
        <v>16</v>
      </c>
      <c r="E118">
        <v>113</v>
      </c>
      <c r="F118">
        <v>276</v>
      </c>
      <c r="G118">
        <v>55</v>
      </c>
      <c r="H118">
        <v>29</v>
      </c>
      <c r="I118">
        <v>389.52</v>
      </c>
      <c r="J118">
        <v>0.23</v>
      </c>
      <c r="K118">
        <v>161</v>
      </c>
      <c r="L118">
        <v>0.82</v>
      </c>
      <c r="M118">
        <v>1</v>
      </c>
      <c r="N118" s="1">
        <f t="shared" si="19"/>
        <v>9.1999999999999993</v>
      </c>
      <c r="O118" s="1">
        <f>N118*(1+Control_Panel!$B$2)</f>
        <v>9.1999999999999993</v>
      </c>
      <c r="P118" s="12">
        <f t="shared" si="20"/>
        <v>0.19927536231884058</v>
      </c>
      <c r="Q118" t="str" cm="1">
        <f t="array" ref="Q118">_xlfn.IFS(P118&lt;0.2,"Stable",P118&lt;=0.5,"Moderate",P118&gt;0.5,"Highly veriable")</f>
        <v>Stable</v>
      </c>
      <c r="R118" s="1">
        <f t="shared" si="21"/>
        <v>296.18406439239772</v>
      </c>
      <c r="S118" s="1">
        <f t="shared" si="22"/>
        <v>334.3840643923977</v>
      </c>
      <c r="T118" s="1">
        <f t="shared" si="23"/>
        <v>-221.3840643923977</v>
      </c>
      <c r="U118" t="str">
        <f t="shared" si="24"/>
        <v xml:space="preserve"> Need to Order</v>
      </c>
      <c r="V118">
        <f t="shared" si="25"/>
        <v>3312</v>
      </c>
      <c r="W118" s="9">
        <f t="shared" si="26"/>
        <v>1290090.24</v>
      </c>
      <c r="Y118">
        <f t="shared" si="27"/>
        <v>2.8923848908464131E-3</v>
      </c>
      <c r="Z118" s="12">
        <f t="shared" si="37"/>
        <v>0.48665686256592583</v>
      </c>
      <c r="AA118" t="str">
        <f t="shared" si="28"/>
        <v>A</v>
      </c>
      <c r="AB118" t="str">
        <f t="shared" si="29"/>
        <v>X</v>
      </c>
      <c r="AC118" t="str">
        <f t="shared" si="30"/>
        <v>AX</v>
      </c>
      <c r="AD118" t="str">
        <f t="shared" si="31"/>
        <v>Strict Control</v>
      </c>
      <c r="AE118" t="str">
        <f t="shared" si="32"/>
        <v>Daily</v>
      </c>
      <c r="AF118" t="str">
        <f t="shared" si="33"/>
        <v>Strict Replenishment</v>
      </c>
      <c r="AG118" t="str">
        <f t="shared" si="34"/>
        <v>Low</v>
      </c>
      <c r="AH118">
        <f t="shared" si="35"/>
        <v>40</v>
      </c>
      <c r="AI118" t="str">
        <f t="shared" si="36"/>
        <v>Low</v>
      </c>
    </row>
    <row r="119" spans="1:35">
      <c r="A119" t="s">
        <v>213</v>
      </c>
      <c r="B119" t="s">
        <v>34</v>
      </c>
      <c r="C119" t="s">
        <v>22</v>
      </c>
      <c r="D119" t="s">
        <v>25</v>
      </c>
      <c r="E119">
        <v>481</v>
      </c>
      <c r="F119">
        <v>252</v>
      </c>
      <c r="G119">
        <v>54</v>
      </c>
      <c r="H119">
        <v>3</v>
      </c>
      <c r="I119">
        <v>425.52</v>
      </c>
      <c r="J119">
        <v>0.13</v>
      </c>
      <c r="K119">
        <v>987</v>
      </c>
      <c r="L119">
        <v>0.88</v>
      </c>
      <c r="M119">
        <v>9</v>
      </c>
      <c r="N119" s="1">
        <f t="shared" si="19"/>
        <v>8.4</v>
      </c>
      <c r="O119" s="1">
        <f>N119*(1+Control_Panel!$B$2)</f>
        <v>8.4</v>
      </c>
      <c r="P119" s="12">
        <f t="shared" si="20"/>
        <v>0.21428571428571427</v>
      </c>
      <c r="Q119" t="str" cm="1">
        <f t="array" ref="Q119">_xlfn.IFS(P119&lt;0.2,"Stable",P119&lt;=0.5,"Moderate",P119&gt;0.5,"Highly veriable")</f>
        <v>Moderate</v>
      </c>
      <c r="R119" s="1">
        <f t="shared" si="21"/>
        <v>93.530743608719362</v>
      </c>
      <c r="S119" s="1">
        <f t="shared" si="22"/>
        <v>104.93074360871937</v>
      </c>
      <c r="T119" s="1">
        <f t="shared" si="23"/>
        <v>376.06925639128065</v>
      </c>
      <c r="U119" t="str">
        <f t="shared" si="24"/>
        <v xml:space="preserve"> Safe</v>
      </c>
      <c r="V119">
        <f t="shared" si="25"/>
        <v>3024</v>
      </c>
      <c r="W119" s="9">
        <f t="shared" si="26"/>
        <v>1286772.48</v>
      </c>
      <c r="Y119">
        <f t="shared" si="27"/>
        <v>2.8849464663099605E-3</v>
      </c>
      <c r="Z119" s="12">
        <f t="shared" si="37"/>
        <v>0.48954180903223576</v>
      </c>
      <c r="AA119" t="str">
        <f t="shared" si="28"/>
        <v>A</v>
      </c>
      <c r="AB119" t="str">
        <f t="shared" si="29"/>
        <v>Y</v>
      </c>
      <c r="AC119" t="str">
        <f t="shared" si="30"/>
        <v>AY</v>
      </c>
      <c r="AD119" t="str">
        <f t="shared" si="31"/>
        <v>Frequent Monitoring</v>
      </c>
      <c r="AE119" t="str">
        <f t="shared" si="32"/>
        <v>Every 2 Days</v>
      </c>
      <c r="AF119" t="str">
        <f t="shared" si="33"/>
        <v>Frequent Monitoring</v>
      </c>
      <c r="AG119" t="str">
        <f t="shared" si="34"/>
        <v>High</v>
      </c>
      <c r="AH119">
        <f t="shared" si="35"/>
        <v>70</v>
      </c>
      <c r="AI119" t="str">
        <f t="shared" si="36"/>
        <v>Critical</v>
      </c>
    </row>
    <row r="120" spans="1:35">
      <c r="A120" t="s">
        <v>409</v>
      </c>
      <c r="B120" t="s">
        <v>34</v>
      </c>
      <c r="C120" t="s">
        <v>22</v>
      </c>
      <c r="D120" t="s">
        <v>16</v>
      </c>
      <c r="E120">
        <v>364</v>
      </c>
      <c r="F120">
        <v>255</v>
      </c>
      <c r="G120">
        <v>65</v>
      </c>
      <c r="H120">
        <v>27</v>
      </c>
      <c r="I120">
        <v>416.01</v>
      </c>
      <c r="J120">
        <v>0.23</v>
      </c>
      <c r="K120">
        <v>530</v>
      </c>
      <c r="L120">
        <v>0.75</v>
      </c>
      <c r="M120">
        <v>1</v>
      </c>
      <c r="N120" s="1">
        <f t="shared" si="19"/>
        <v>8.5</v>
      </c>
      <c r="O120" s="1">
        <f>N120*(1+Control_Panel!$B$2)</f>
        <v>8.5</v>
      </c>
      <c r="P120" s="12">
        <f t="shared" si="20"/>
        <v>0.25490196078431371</v>
      </c>
      <c r="Q120" t="str" cm="1">
        <f t="array" ref="Q120">_xlfn.IFS(P120&lt;0.2,"Stable",P120&lt;=0.5,"Moderate",P120&gt;0.5,"Highly veriable")</f>
        <v>Moderate</v>
      </c>
      <c r="R120" s="1">
        <f t="shared" si="21"/>
        <v>337.74990747593108</v>
      </c>
      <c r="S120" s="1">
        <f t="shared" si="22"/>
        <v>373.24990747593108</v>
      </c>
      <c r="T120" s="1">
        <f t="shared" si="23"/>
        <v>-9.2499074759310815</v>
      </c>
      <c r="U120" t="str">
        <f t="shared" si="24"/>
        <v xml:space="preserve"> Need to Order</v>
      </c>
      <c r="V120">
        <f t="shared" si="25"/>
        <v>3060</v>
      </c>
      <c r="W120" s="9">
        <f t="shared" si="26"/>
        <v>1272990.5999999999</v>
      </c>
      <c r="Y120">
        <f t="shared" si="27"/>
        <v>2.8540474638654037E-3</v>
      </c>
      <c r="Z120" s="12">
        <f t="shared" si="37"/>
        <v>0.49239585649610118</v>
      </c>
      <c r="AA120" t="str">
        <f t="shared" si="28"/>
        <v>A</v>
      </c>
      <c r="AB120" t="str">
        <f t="shared" si="29"/>
        <v>Y</v>
      </c>
      <c r="AC120" t="str">
        <f t="shared" si="30"/>
        <v>AY</v>
      </c>
      <c r="AD120" t="str">
        <f t="shared" si="31"/>
        <v>Frequent Monitoring</v>
      </c>
      <c r="AE120" t="str">
        <f t="shared" si="32"/>
        <v>Every 2 Days</v>
      </c>
      <c r="AF120" t="str">
        <f t="shared" si="33"/>
        <v>Frequent Monitoring</v>
      </c>
      <c r="AG120" t="str">
        <f t="shared" si="34"/>
        <v>High</v>
      </c>
      <c r="AH120">
        <f t="shared" si="35"/>
        <v>50</v>
      </c>
      <c r="AI120" t="str">
        <f t="shared" si="36"/>
        <v>Medium</v>
      </c>
    </row>
    <row r="121" spans="1:35">
      <c r="A121" t="s">
        <v>298</v>
      </c>
      <c r="B121" t="s">
        <v>21</v>
      </c>
      <c r="C121" t="s">
        <v>22</v>
      </c>
      <c r="D121" t="s">
        <v>16</v>
      </c>
      <c r="E121">
        <v>341</v>
      </c>
      <c r="F121">
        <v>493</v>
      </c>
      <c r="G121">
        <v>95</v>
      </c>
      <c r="H121">
        <v>3</v>
      </c>
      <c r="I121">
        <v>215.06</v>
      </c>
      <c r="J121">
        <v>0.17</v>
      </c>
      <c r="K121">
        <v>973</v>
      </c>
      <c r="L121">
        <v>0.82</v>
      </c>
      <c r="M121">
        <v>7</v>
      </c>
      <c r="N121" s="1">
        <f t="shared" si="19"/>
        <v>16.433333333333334</v>
      </c>
      <c r="O121" s="1">
        <f>N121*(1+Control_Panel!$B$2)</f>
        <v>16.433333333333334</v>
      </c>
      <c r="P121" s="12">
        <f t="shared" si="20"/>
        <v>0.1926977687626775</v>
      </c>
      <c r="Q121" t="str" cm="1">
        <f t="array" ref="Q121">_xlfn.IFS(P121&lt;0.2,"Stable",P121&lt;=0.5,"Moderate",P121&gt;0.5,"Highly veriable")</f>
        <v>Stable</v>
      </c>
      <c r="R121" s="1">
        <f t="shared" si="21"/>
        <v>164.54482671904333</v>
      </c>
      <c r="S121" s="1">
        <f t="shared" si="22"/>
        <v>183.97816005237667</v>
      </c>
      <c r="T121" s="1">
        <f t="shared" si="23"/>
        <v>157.02183994762333</v>
      </c>
      <c r="U121" t="str">
        <f t="shared" si="24"/>
        <v xml:space="preserve"> Risk</v>
      </c>
      <c r="V121">
        <f t="shared" si="25"/>
        <v>5916</v>
      </c>
      <c r="W121" s="9">
        <f t="shared" si="26"/>
        <v>1272294.96</v>
      </c>
      <c r="Y121">
        <f t="shared" si="27"/>
        <v>2.8524878375981214E-3</v>
      </c>
      <c r="Z121" s="12">
        <f t="shared" si="37"/>
        <v>0.4952483443336993</v>
      </c>
      <c r="AA121" t="str">
        <f t="shared" si="28"/>
        <v>A</v>
      </c>
      <c r="AB121" t="str">
        <f t="shared" si="29"/>
        <v>X</v>
      </c>
      <c r="AC121" t="str">
        <f t="shared" si="30"/>
        <v>AX</v>
      </c>
      <c r="AD121" t="str">
        <f t="shared" si="31"/>
        <v>Strict Control</v>
      </c>
      <c r="AE121" t="str">
        <f t="shared" si="32"/>
        <v>Daily</v>
      </c>
      <c r="AF121" t="str">
        <f t="shared" si="33"/>
        <v>Strict Replenishment</v>
      </c>
      <c r="AG121" t="str">
        <f t="shared" si="34"/>
        <v>Low</v>
      </c>
      <c r="AH121">
        <f t="shared" si="35"/>
        <v>50</v>
      </c>
      <c r="AI121" t="str">
        <f t="shared" si="36"/>
        <v>Medium</v>
      </c>
    </row>
    <row r="122" spans="1:35">
      <c r="A122" t="s">
        <v>450</v>
      </c>
      <c r="B122" t="s">
        <v>21</v>
      </c>
      <c r="C122" t="s">
        <v>15</v>
      </c>
      <c r="D122" t="s">
        <v>41</v>
      </c>
      <c r="E122">
        <v>474</v>
      </c>
      <c r="F122">
        <v>449</v>
      </c>
      <c r="G122">
        <v>76</v>
      </c>
      <c r="H122">
        <v>19</v>
      </c>
      <c r="I122">
        <v>235.59</v>
      </c>
      <c r="J122">
        <v>0.23</v>
      </c>
      <c r="K122">
        <v>642</v>
      </c>
      <c r="L122">
        <v>0.78</v>
      </c>
      <c r="M122">
        <v>3</v>
      </c>
      <c r="N122" s="1">
        <f t="shared" si="19"/>
        <v>14.966666666666667</v>
      </c>
      <c r="O122" s="1">
        <f>N122*(1+Control_Panel!$B$2)</f>
        <v>14.966666666666667</v>
      </c>
      <c r="P122" s="12">
        <f t="shared" si="20"/>
        <v>0.16926503340757237</v>
      </c>
      <c r="Q122" t="str" cm="1">
        <f t="array" ref="Q122">_xlfn.IFS(P122&lt;0.2,"Stable",P122&lt;=0.5,"Moderate",P122&gt;0.5,"Highly veriable")</f>
        <v>Stable</v>
      </c>
      <c r="R122" s="1">
        <f t="shared" si="21"/>
        <v>331.27631970909124</v>
      </c>
      <c r="S122" s="1">
        <f t="shared" si="22"/>
        <v>365.24298637575794</v>
      </c>
      <c r="T122" s="1">
        <f t="shared" si="23"/>
        <v>108.75701362424206</v>
      </c>
      <c r="U122" t="str">
        <f t="shared" si="24"/>
        <v xml:space="preserve"> Risk</v>
      </c>
      <c r="V122">
        <f t="shared" si="25"/>
        <v>5388</v>
      </c>
      <c r="W122" s="9">
        <f t="shared" si="26"/>
        <v>1269358.92</v>
      </c>
      <c r="Y122">
        <f t="shared" si="27"/>
        <v>2.8459052300629146E-3</v>
      </c>
      <c r="Z122" s="12">
        <f t="shared" si="37"/>
        <v>0.49809424956376219</v>
      </c>
      <c r="AA122" t="str">
        <f t="shared" si="28"/>
        <v>A</v>
      </c>
      <c r="AB122" t="str">
        <f t="shared" si="29"/>
        <v>X</v>
      </c>
      <c r="AC122" t="str">
        <f t="shared" si="30"/>
        <v>AX</v>
      </c>
      <c r="AD122" t="str">
        <f t="shared" si="31"/>
        <v>Strict Control</v>
      </c>
      <c r="AE122" t="str">
        <f t="shared" si="32"/>
        <v>Daily</v>
      </c>
      <c r="AF122" t="str">
        <f t="shared" si="33"/>
        <v>Strict Replenishment</v>
      </c>
      <c r="AG122" t="str">
        <f t="shared" si="34"/>
        <v>Low</v>
      </c>
      <c r="AH122">
        <f t="shared" si="35"/>
        <v>40</v>
      </c>
      <c r="AI122" t="str">
        <f t="shared" si="36"/>
        <v>Low</v>
      </c>
    </row>
    <row r="123" spans="1:35">
      <c r="A123" t="s">
        <v>186</v>
      </c>
      <c r="B123" t="s">
        <v>14</v>
      </c>
      <c r="C123" t="s">
        <v>22</v>
      </c>
      <c r="D123" t="s">
        <v>16</v>
      </c>
      <c r="E123">
        <v>578</v>
      </c>
      <c r="F123">
        <v>350</v>
      </c>
      <c r="G123">
        <v>66</v>
      </c>
      <c r="H123">
        <v>22</v>
      </c>
      <c r="I123">
        <v>299.7</v>
      </c>
      <c r="J123">
        <v>0.24</v>
      </c>
      <c r="K123">
        <v>187</v>
      </c>
      <c r="L123">
        <v>0.94</v>
      </c>
      <c r="M123">
        <v>7</v>
      </c>
      <c r="N123" s="1">
        <f t="shared" si="19"/>
        <v>11.666666666666666</v>
      </c>
      <c r="O123" s="1">
        <f>N123*(1+Control_Panel!$B$2)</f>
        <v>11.666666666666666</v>
      </c>
      <c r="P123" s="12">
        <f t="shared" si="20"/>
        <v>0.18857142857142858</v>
      </c>
      <c r="Q123" t="str" cm="1">
        <f t="array" ref="Q123">_xlfn.IFS(P123&lt;0.2,"Stable",P123&lt;=0.5,"Moderate",P123&gt;0.5,"Highly veriable")</f>
        <v>Stable</v>
      </c>
      <c r="R123" s="1">
        <f t="shared" si="21"/>
        <v>309.56744014834635</v>
      </c>
      <c r="S123" s="1">
        <f t="shared" si="22"/>
        <v>343.23410681501304</v>
      </c>
      <c r="T123" s="1">
        <f t="shared" si="23"/>
        <v>234.76589318498696</v>
      </c>
      <c r="U123" t="str">
        <f t="shared" si="24"/>
        <v xml:space="preserve"> Risk</v>
      </c>
      <c r="V123">
        <f t="shared" si="25"/>
        <v>4200</v>
      </c>
      <c r="W123" s="9">
        <f t="shared" si="26"/>
        <v>1258740</v>
      </c>
      <c r="Y123">
        <f t="shared" si="27"/>
        <v>2.8220975902461011E-3</v>
      </c>
      <c r="Z123" s="12">
        <f t="shared" si="37"/>
        <v>0.50091634715400835</v>
      </c>
      <c r="AA123" t="str">
        <f t="shared" si="28"/>
        <v>A</v>
      </c>
      <c r="AB123" t="str">
        <f t="shared" si="29"/>
        <v>X</v>
      </c>
      <c r="AC123" t="str">
        <f t="shared" si="30"/>
        <v>AX</v>
      </c>
      <c r="AD123" t="str">
        <f t="shared" si="31"/>
        <v>Strict Control</v>
      </c>
      <c r="AE123" t="str">
        <f t="shared" si="32"/>
        <v>Daily</v>
      </c>
      <c r="AF123" t="str">
        <f t="shared" si="33"/>
        <v>Strict Replenishment</v>
      </c>
      <c r="AG123" t="str">
        <f t="shared" si="34"/>
        <v>Low</v>
      </c>
      <c r="AH123">
        <f t="shared" si="35"/>
        <v>50</v>
      </c>
      <c r="AI123" t="str">
        <f t="shared" si="36"/>
        <v>Medium</v>
      </c>
    </row>
    <row r="124" spans="1:35">
      <c r="A124" t="s">
        <v>43</v>
      </c>
      <c r="B124" t="s">
        <v>18</v>
      </c>
      <c r="C124" t="s">
        <v>22</v>
      </c>
      <c r="D124" t="s">
        <v>23</v>
      </c>
      <c r="E124">
        <v>818</v>
      </c>
      <c r="F124">
        <v>459</v>
      </c>
      <c r="G124">
        <v>100</v>
      </c>
      <c r="H124">
        <v>9</v>
      </c>
      <c r="I124">
        <v>224.52</v>
      </c>
      <c r="J124">
        <v>0.23</v>
      </c>
      <c r="K124">
        <v>555</v>
      </c>
      <c r="L124">
        <v>0.87</v>
      </c>
      <c r="M124">
        <v>5</v>
      </c>
      <c r="N124" s="1">
        <f t="shared" si="19"/>
        <v>15.3</v>
      </c>
      <c r="O124" s="1">
        <f>N124*(1+Control_Panel!$B$2)</f>
        <v>15.3</v>
      </c>
      <c r="P124" s="12">
        <f t="shared" si="20"/>
        <v>0.2178649237472767</v>
      </c>
      <c r="Q124" t="str" cm="1">
        <f t="array" ref="Q124">_xlfn.IFS(P124&lt;0.2,"Stable",P124&lt;=0.5,"Moderate",P124&gt;0.5,"Highly veriable")</f>
        <v>Moderate</v>
      </c>
      <c r="R124" s="1">
        <f t="shared" si="21"/>
        <v>300</v>
      </c>
      <c r="S124" s="1">
        <f t="shared" si="22"/>
        <v>324.3</v>
      </c>
      <c r="T124" s="1">
        <f t="shared" si="23"/>
        <v>493.7</v>
      </c>
      <c r="U124" t="str">
        <f t="shared" si="24"/>
        <v xml:space="preserve"> Safe</v>
      </c>
      <c r="V124">
        <f t="shared" si="25"/>
        <v>5508</v>
      </c>
      <c r="W124" s="9">
        <f t="shared" si="26"/>
        <v>1236656.1600000001</v>
      </c>
      <c r="Y124">
        <f t="shared" si="27"/>
        <v>2.7725855769253358E-3</v>
      </c>
      <c r="Z124" s="12">
        <f t="shared" si="37"/>
        <v>0.50368893273093374</v>
      </c>
      <c r="AA124" t="str">
        <f t="shared" si="28"/>
        <v>A</v>
      </c>
      <c r="AB124" t="str">
        <f t="shared" si="29"/>
        <v>Y</v>
      </c>
      <c r="AC124" t="str">
        <f t="shared" si="30"/>
        <v>AY</v>
      </c>
      <c r="AD124" t="str">
        <f t="shared" si="31"/>
        <v>Frequent Monitoring</v>
      </c>
      <c r="AE124" t="str">
        <f t="shared" si="32"/>
        <v>Every 2 Days</v>
      </c>
      <c r="AF124" t="str">
        <f t="shared" si="33"/>
        <v>Frequent Monitoring</v>
      </c>
      <c r="AG124" t="str">
        <f t="shared" si="34"/>
        <v>High</v>
      </c>
      <c r="AH124">
        <f t="shared" si="35"/>
        <v>60</v>
      </c>
      <c r="AI124" t="str">
        <f t="shared" si="36"/>
        <v>High</v>
      </c>
    </row>
    <row r="125" spans="1:35">
      <c r="A125" t="s">
        <v>299</v>
      </c>
      <c r="B125" t="s">
        <v>21</v>
      </c>
      <c r="C125" t="s">
        <v>15</v>
      </c>
      <c r="D125" t="s">
        <v>23</v>
      </c>
      <c r="E125">
        <v>448</v>
      </c>
      <c r="F125">
        <v>349</v>
      </c>
      <c r="G125">
        <v>47</v>
      </c>
      <c r="H125">
        <v>21</v>
      </c>
      <c r="I125">
        <v>294.93</v>
      </c>
      <c r="J125">
        <v>0.2</v>
      </c>
      <c r="K125">
        <v>450</v>
      </c>
      <c r="L125">
        <v>0.8</v>
      </c>
      <c r="M125">
        <v>2</v>
      </c>
      <c r="N125" s="1">
        <f t="shared" si="19"/>
        <v>11.633333333333333</v>
      </c>
      <c r="O125" s="1">
        <f>N125*(1+Control_Panel!$B$2)</f>
        <v>11.633333333333333</v>
      </c>
      <c r="P125" s="12">
        <f t="shared" si="20"/>
        <v>0.1346704871060172</v>
      </c>
      <c r="Q125" t="str" cm="1">
        <f t="array" ref="Q125">_xlfn.IFS(P125&lt;0.2,"Stable",P125&lt;=0.5,"Moderate",P125&gt;0.5,"Highly veriable")</f>
        <v>Stable</v>
      </c>
      <c r="R125" s="1">
        <f t="shared" si="21"/>
        <v>215.38105766292446</v>
      </c>
      <c r="S125" s="1">
        <f t="shared" si="22"/>
        <v>248.01439099625779</v>
      </c>
      <c r="T125" s="1">
        <f t="shared" si="23"/>
        <v>199.98560900374221</v>
      </c>
      <c r="U125" t="str">
        <f t="shared" si="24"/>
        <v xml:space="preserve"> Risk</v>
      </c>
      <c r="V125">
        <f t="shared" si="25"/>
        <v>4188</v>
      </c>
      <c r="W125" s="9">
        <f t="shared" si="26"/>
        <v>1235166.8400000001</v>
      </c>
      <c r="Y125">
        <f t="shared" si="27"/>
        <v>2.769246518515255E-3</v>
      </c>
      <c r="Z125" s="12">
        <f t="shared" si="37"/>
        <v>0.50645817924944903</v>
      </c>
      <c r="AA125" t="str">
        <f t="shared" si="28"/>
        <v>A</v>
      </c>
      <c r="AB125" t="str">
        <f t="shared" si="29"/>
        <v>X</v>
      </c>
      <c r="AC125" t="str">
        <f t="shared" si="30"/>
        <v>AX</v>
      </c>
      <c r="AD125" t="str">
        <f t="shared" si="31"/>
        <v>Strict Control</v>
      </c>
      <c r="AE125" t="str">
        <f t="shared" si="32"/>
        <v>Daily</v>
      </c>
      <c r="AF125" t="str">
        <f t="shared" si="33"/>
        <v>Strict Replenishment</v>
      </c>
      <c r="AG125" t="str">
        <f t="shared" si="34"/>
        <v>Low</v>
      </c>
      <c r="AH125">
        <f t="shared" si="35"/>
        <v>40</v>
      </c>
      <c r="AI125" t="str">
        <f t="shared" si="36"/>
        <v>Low</v>
      </c>
    </row>
    <row r="126" spans="1:35">
      <c r="A126" t="s">
        <v>473</v>
      </c>
      <c r="B126" t="s">
        <v>38</v>
      </c>
      <c r="C126" t="s">
        <v>22</v>
      </c>
      <c r="D126" t="s">
        <v>41</v>
      </c>
      <c r="E126">
        <v>623</v>
      </c>
      <c r="F126">
        <v>307</v>
      </c>
      <c r="G126">
        <v>72</v>
      </c>
      <c r="H126">
        <v>6</v>
      </c>
      <c r="I126">
        <v>334.4</v>
      </c>
      <c r="J126">
        <v>0.24</v>
      </c>
      <c r="K126">
        <v>829</v>
      </c>
      <c r="L126">
        <v>0.94</v>
      </c>
      <c r="M126">
        <v>5</v>
      </c>
      <c r="N126" s="1">
        <f t="shared" si="19"/>
        <v>10.233333333333333</v>
      </c>
      <c r="O126" s="1">
        <f>N126*(1+Control_Panel!$B$2)</f>
        <v>10.233333333333333</v>
      </c>
      <c r="P126" s="12">
        <f t="shared" si="20"/>
        <v>0.23452768729641693</v>
      </c>
      <c r="Q126" t="str" cm="1">
        <f t="array" ref="Q126">_xlfn.IFS(P126&lt;0.2,"Stable",P126&lt;=0.5,"Moderate",P126&gt;0.5,"Highly veriable")</f>
        <v>Moderate</v>
      </c>
      <c r="R126" s="1">
        <f t="shared" si="21"/>
        <v>176.36326148038881</v>
      </c>
      <c r="S126" s="1">
        <f t="shared" si="22"/>
        <v>192.59659481372216</v>
      </c>
      <c r="T126" s="1">
        <f t="shared" si="23"/>
        <v>430.40340518627784</v>
      </c>
      <c r="U126" t="str">
        <f t="shared" si="24"/>
        <v xml:space="preserve"> Safe</v>
      </c>
      <c r="V126">
        <f t="shared" si="25"/>
        <v>3684</v>
      </c>
      <c r="W126" s="9">
        <f t="shared" si="26"/>
        <v>1231929.5999999999</v>
      </c>
      <c r="Y126">
        <f t="shared" si="27"/>
        <v>2.7619886199793785E-3</v>
      </c>
      <c r="Z126" s="12">
        <f t="shared" si="37"/>
        <v>0.50922016786942836</v>
      </c>
      <c r="AA126" t="str">
        <f t="shared" si="28"/>
        <v>A</v>
      </c>
      <c r="AB126" t="str">
        <f t="shared" si="29"/>
        <v>Y</v>
      </c>
      <c r="AC126" t="str">
        <f t="shared" si="30"/>
        <v>AY</v>
      </c>
      <c r="AD126" t="str">
        <f t="shared" si="31"/>
        <v>Frequent Monitoring</v>
      </c>
      <c r="AE126" t="str">
        <f t="shared" si="32"/>
        <v>Every 2 Days</v>
      </c>
      <c r="AF126" t="str">
        <f t="shared" si="33"/>
        <v>Frequent Monitoring</v>
      </c>
      <c r="AG126" t="str">
        <f t="shared" si="34"/>
        <v>High</v>
      </c>
      <c r="AH126">
        <f t="shared" si="35"/>
        <v>60</v>
      </c>
      <c r="AI126" t="str">
        <f t="shared" si="36"/>
        <v>High</v>
      </c>
    </row>
    <row r="127" spans="1:35">
      <c r="A127" t="s">
        <v>415</v>
      </c>
      <c r="B127" t="s">
        <v>21</v>
      </c>
      <c r="C127" t="s">
        <v>15</v>
      </c>
      <c r="D127" t="s">
        <v>19</v>
      </c>
      <c r="E127">
        <v>397</v>
      </c>
      <c r="F127">
        <v>463</v>
      </c>
      <c r="G127">
        <v>81</v>
      </c>
      <c r="H127">
        <v>25</v>
      </c>
      <c r="I127">
        <v>221.15</v>
      </c>
      <c r="J127">
        <v>0.24</v>
      </c>
      <c r="K127">
        <v>214</v>
      </c>
      <c r="L127">
        <v>0.94</v>
      </c>
      <c r="M127">
        <v>3</v>
      </c>
      <c r="N127" s="1">
        <f t="shared" si="19"/>
        <v>15.433333333333334</v>
      </c>
      <c r="O127" s="1">
        <f>N127*(1+Control_Panel!$B$2)</f>
        <v>15.433333333333334</v>
      </c>
      <c r="P127" s="12">
        <f t="shared" si="20"/>
        <v>0.17494600431965443</v>
      </c>
      <c r="Q127" t="str" cm="1">
        <f t="array" ref="Q127">_xlfn.IFS(P127&lt;0.2,"Stable",P127&lt;=0.5,"Moderate",P127&gt;0.5,"Highly veriable")</f>
        <v>Stable</v>
      </c>
      <c r="R127" s="1">
        <f t="shared" si="21"/>
        <v>405</v>
      </c>
      <c r="S127" s="1">
        <f t="shared" si="22"/>
        <v>445.43333333333334</v>
      </c>
      <c r="T127" s="1">
        <f t="shared" si="23"/>
        <v>-48.433333333333337</v>
      </c>
      <c r="U127" t="str">
        <f t="shared" si="24"/>
        <v xml:space="preserve"> Need to Order</v>
      </c>
      <c r="V127">
        <f t="shared" si="25"/>
        <v>5556</v>
      </c>
      <c r="W127" s="9">
        <f t="shared" si="26"/>
        <v>1228709.4000000001</v>
      </c>
      <c r="Y127">
        <f t="shared" si="27"/>
        <v>2.7547689251574857E-3</v>
      </c>
      <c r="Z127" s="12">
        <f t="shared" si="37"/>
        <v>0.51197493679458583</v>
      </c>
      <c r="AA127" t="str">
        <f t="shared" si="28"/>
        <v>A</v>
      </c>
      <c r="AB127" t="str">
        <f t="shared" si="29"/>
        <v>X</v>
      </c>
      <c r="AC127" t="str">
        <f t="shared" si="30"/>
        <v>AX</v>
      </c>
      <c r="AD127" t="str">
        <f t="shared" si="31"/>
        <v>Strict Control</v>
      </c>
      <c r="AE127" t="str">
        <f t="shared" si="32"/>
        <v>Daily</v>
      </c>
      <c r="AF127" t="str">
        <f t="shared" si="33"/>
        <v>Strict Replenishment</v>
      </c>
      <c r="AG127" t="str">
        <f t="shared" si="34"/>
        <v>Low</v>
      </c>
      <c r="AH127">
        <f t="shared" si="35"/>
        <v>40</v>
      </c>
      <c r="AI127" t="str">
        <f t="shared" si="36"/>
        <v>Low</v>
      </c>
    </row>
    <row r="128" spans="1:35">
      <c r="A128" t="s">
        <v>290</v>
      </c>
      <c r="B128" t="s">
        <v>29</v>
      </c>
      <c r="C128" t="s">
        <v>15</v>
      </c>
      <c r="D128" t="s">
        <v>23</v>
      </c>
      <c r="E128">
        <v>188</v>
      </c>
      <c r="F128">
        <v>346</v>
      </c>
      <c r="G128">
        <v>93</v>
      </c>
      <c r="H128">
        <v>10</v>
      </c>
      <c r="I128">
        <v>295.69</v>
      </c>
      <c r="J128">
        <v>0.22</v>
      </c>
      <c r="K128">
        <v>403</v>
      </c>
      <c r="L128">
        <v>0.72</v>
      </c>
      <c r="M128">
        <v>9</v>
      </c>
      <c r="N128" s="1">
        <f t="shared" si="19"/>
        <v>11.533333333333333</v>
      </c>
      <c r="O128" s="1">
        <f>N128*(1+Control_Panel!$B$2)</f>
        <v>11.533333333333333</v>
      </c>
      <c r="P128" s="12">
        <f t="shared" si="20"/>
        <v>0.26878612716763006</v>
      </c>
      <c r="Q128" t="str" cm="1">
        <f t="array" ref="Q128">_xlfn.IFS(P128&lt;0.2,"Stable",P128&lt;=0.5,"Moderate",P128&gt;0.5,"Highly veriable")</f>
        <v>Moderate</v>
      </c>
      <c r="R128" s="1">
        <f t="shared" si="21"/>
        <v>294.09182239565928</v>
      </c>
      <c r="S128" s="1">
        <f t="shared" si="22"/>
        <v>315.62515572899258</v>
      </c>
      <c r="T128" s="1">
        <f t="shared" si="23"/>
        <v>-127.62515572899258</v>
      </c>
      <c r="U128" t="str">
        <f t="shared" si="24"/>
        <v xml:space="preserve"> Need to Order</v>
      </c>
      <c r="V128">
        <f t="shared" si="25"/>
        <v>4152</v>
      </c>
      <c r="W128" s="9">
        <f t="shared" si="26"/>
        <v>1227704.8799999999</v>
      </c>
      <c r="Y128">
        <f t="shared" si="27"/>
        <v>2.7525167893142177E-3</v>
      </c>
      <c r="Z128" s="12">
        <f t="shared" si="37"/>
        <v>0.51472745358390004</v>
      </c>
      <c r="AA128" t="str">
        <f t="shared" si="28"/>
        <v>A</v>
      </c>
      <c r="AB128" t="str">
        <f t="shared" si="29"/>
        <v>Y</v>
      </c>
      <c r="AC128" t="str">
        <f t="shared" si="30"/>
        <v>AY</v>
      </c>
      <c r="AD128" t="str">
        <f t="shared" si="31"/>
        <v>Frequent Monitoring</v>
      </c>
      <c r="AE128" t="str">
        <f t="shared" si="32"/>
        <v>Every 2 Days</v>
      </c>
      <c r="AF128" t="str">
        <f t="shared" si="33"/>
        <v>Frequent Monitoring</v>
      </c>
      <c r="AG128" t="str">
        <f t="shared" si="34"/>
        <v>High</v>
      </c>
      <c r="AH128">
        <f t="shared" si="35"/>
        <v>70</v>
      </c>
      <c r="AI128" t="str">
        <f t="shared" si="36"/>
        <v>Critical</v>
      </c>
    </row>
    <row r="129" spans="1:35">
      <c r="A129" t="s">
        <v>470</v>
      </c>
      <c r="B129" t="s">
        <v>18</v>
      </c>
      <c r="C129" t="s">
        <v>15</v>
      </c>
      <c r="D129" t="s">
        <v>25</v>
      </c>
      <c r="E129">
        <v>639</v>
      </c>
      <c r="F129">
        <v>488</v>
      </c>
      <c r="G129">
        <v>83</v>
      </c>
      <c r="H129">
        <v>12</v>
      </c>
      <c r="I129">
        <v>209.04</v>
      </c>
      <c r="J129">
        <v>7.0000000000000007E-2</v>
      </c>
      <c r="K129">
        <v>758</v>
      </c>
      <c r="L129">
        <v>0.76</v>
      </c>
      <c r="M129">
        <v>7</v>
      </c>
      <c r="N129" s="1">
        <f t="shared" si="19"/>
        <v>16.266666666666666</v>
      </c>
      <c r="O129" s="1">
        <f>N129*(1+Control_Panel!$B$2)</f>
        <v>16.266666666666666</v>
      </c>
      <c r="P129" s="12">
        <f t="shared" si="20"/>
        <v>0.17008196721311475</v>
      </c>
      <c r="Q129" t="str" cm="1">
        <f t="array" ref="Q129">_xlfn.IFS(P129&lt;0.2,"Stable",P129&lt;=0.5,"Moderate",P129&gt;0.5,"Highly veriable")</f>
        <v>Stable</v>
      </c>
      <c r="R129" s="1">
        <f t="shared" si="21"/>
        <v>287.5204340564336</v>
      </c>
      <c r="S129" s="1">
        <f t="shared" si="22"/>
        <v>315.78710072310025</v>
      </c>
      <c r="T129" s="1">
        <f t="shared" si="23"/>
        <v>323.21289927689975</v>
      </c>
      <c r="U129" t="str">
        <f t="shared" si="24"/>
        <v xml:space="preserve"> Safe</v>
      </c>
      <c r="V129">
        <f t="shared" si="25"/>
        <v>5856</v>
      </c>
      <c r="W129" s="9">
        <f t="shared" si="26"/>
        <v>1224138.24</v>
      </c>
      <c r="Y129">
        <f t="shared" si="27"/>
        <v>2.7445203753214352E-3</v>
      </c>
      <c r="Z129" s="12">
        <f t="shared" si="37"/>
        <v>0.51747197395922151</v>
      </c>
      <c r="AA129" t="str">
        <f t="shared" si="28"/>
        <v>A</v>
      </c>
      <c r="AB129" t="str">
        <f t="shared" si="29"/>
        <v>X</v>
      </c>
      <c r="AC129" t="str">
        <f t="shared" si="30"/>
        <v>AX</v>
      </c>
      <c r="AD129" t="str">
        <f t="shared" si="31"/>
        <v>Strict Control</v>
      </c>
      <c r="AE129" t="str">
        <f t="shared" si="32"/>
        <v>Daily</v>
      </c>
      <c r="AF129" t="str">
        <f t="shared" si="33"/>
        <v>Strict Replenishment</v>
      </c>
      <c r="AG129" t="str">
        <f t="shared" si="34"/>
        <v>Low</v>
      </c>
      <c r="AH129">
        <f t="shared" si="35"/>
        <v>50</v>
      </c>
      <c r="AI129" t="str">
        <f t="shared" si="36"/>
        <v>Medium</v>
      </c>
    </row>
    <row r="130" spans="1:35">
      <c r="A130" t="s">
        <v>215</v>
      </c>
      <c r="B130" t="s">
        <v>38</v>
      </c>
      <c r="C130" t="s">
        <v>15</v>
      </c>
      <c r="D130" t="s">
        <v>25</v>
      </c>
      <c r="E130">
        <v>158</v>
      </c>
      <c r="F130">
        <v>235</v>
      </c>
      <c r="G130">
        <v>21</v>
      </c>
      <c r="H130">
        <v>25</v>
      </c>
      <c r="I130">
        <v>432.53</v>
      </c>
      <c r="J130">
        <v>0.21</v>
      </c>
      <c r="K130">
        <v>494</v>
      </c>
      <c r="L130">
        <v>0.75</v>
      </c>
      <c r="M130">
        <v>5</v>
      </c>
      <c r="N130" s="1">
        <f t="shared" ref="N130:N193" si="38">F130/30</f>
        <v>7.833333333333333</v>
      </c>
      <c r="O130" s="1">
        <f>N130*(1+Control_Panel!$B$2)</f>
        <v>7.833333333333333</v>
      </c>
      <c r="P130" s="12">
        <f t="shared" ref="P130:P193" si="39">G130/F130</f>
        <v>8.9361702127659579E-2</v>
      </c>
      <c r="Q130" t="str" cm="1">
        <f t="array" ref="Q130">_xlfn.IFS(P130&lt;0.2,"Stable",P130&lt;=0.5,"Moderate",P130&gt;0.5,"Highly veriable")</f>
        <v>Stable</v>
      </c>
      <c r="R130" s="1">
        <f t="shared" ref="R130:R193" si="40">G130*SQRT(H130)</f>
        <v>105</v>
      </c>
      <c r="S130" s="1">
        <f t="shared" ref="S130:S193" si="41">O130+H130+R130</f>
        <v>137.83333333333334</v>
      </c>
      <c r="T130" s="1">
        <f t="shared" ref="T130:T193" si="42">E130-S130</f>
        <v>20.166666666666657</v>
      </c>
      <c r="U130" t="str">
        <f t="shared" ref="U130:U193" si="43">IF(T130&lt;0," Need to Order",
   IF(T130&lt;=R130," Risk",
      " Safe"))</f>
        <v xml:space="preserve"> Risk</v>
      </c>
      <c r="V130">
        <f t="shared" ref="V130:V193" si="44">F130*12</f>
        <v>2820</v>
      </c>
      <c r="W130" s="9">
        <f t="shared" ref="W130:W193" si="45">V130*I130</f>
        <v>1219734.5999999999</v>
      </c>
      <c r="Y130">
        <f t="shared" si="27"/>
        <v>2.7346474056594624E-3</v>
      </c>
      <c r="Z130" s="12">
        <f t="shared" si="37"/>
        <v>0.52020662136488094</v>
      </c>
      <c r="AA130" t="str">
        <f t="shared" si="28"/>
        <v>A</v>
      </c>
      <c r="AB130" t="str">
        <f t="shared" si="29"/>
        <v>X</v>
      </c>
      <c r="AC130" t="str">
        <f t="shared" si="30"/>
        <v>AX</v>
      </c>
      <c r="AD130" t="str">
        <f t="shared" si="31"/>
        <v>Strict Control</v>
      </c>
      <c r="AE130" t="str">
        <f t="shared" si="32"/>
        <v>Daily</v>
      </c>
      <c r="AF130" t="str">
        <f t="shared" si="33"/>
        <v>Strict Replenishment</v>
      </c>
      <c r="AG130" t="str">
        <f t="shared" si="34"/>
        <v>Low</v>
      </c>
      <c r="AH130">
        <f t="shared" si="35"/>
        <v>50</v>
      </c>
      <c r="AI130" t="str">
        <f t="shared" si="36"/>
        <v>Medium</v>
      </c>
    </row>
    <row r="131" spans="1:35">
      <c r="A131" t="s">
        <v>220</v>
      </c>
      <c r="B131" t="s">
        <v>38</v>
      </c>
      <c r="C131" t="s">
        <v>22</v>
      </c>
      <c r="D131" t="s">
        <v>23</v>
      </c>
      <c r="E131">
        <v>842</v>
      </c>
      <c r="F131">
        <v>380</v>
      </c>
      <c r="G131">
        <v>70</v>
      </c>
      <c r="H131">
        <v>6</v>
      </c>
      <c r="I131">
        <v>267.29000000000002</v>
      </c>
      <c r="J131">
        <v>0.1</v>
      </c>
      <c r="K131">
        <v>943</v>
      </c>
      <c r="L131">
        <v>0.93</v>
      </c>
      <c r="M131">
        <v>8</v>
      </c>
      <c r="N131" s="1">
        <f t="shared" si="38"/>
        <v>12.666666666666666</v>
      </c>
      <c r="O131" s="1">
        <f>N131*(1+Control_Panel!$B$2)</f>
        <v>12.666666666666666</v>
      </c>
      <c r="P131" s="12">
        <f t="shared" si="39"/>
        <v>0.18421052631578946</v>
      </c>
      <c r="Q131" t="str" cm="1">
        <f t="array" ref="Q131">_xlfn.IFS(P131&lt;0.2,"Stable",P131&lt;=0.5,"Moderate",P131&gt;0.5,"Highly veriable")</f>
        <v>Stable</v>
      </c>
      <c r="R131" s="1">
        <f t="shared" si="40"/>
        <v>171.46428199482244</v>
      </c>
      <c r="S131" s="1">
        <f t="shared" si="41"/>
        <v>190.1309486614891</v>
      </c>
      <c r="T131" s="1">
        <f t="shared" si="42"/>
        <v>651.86905133851087</v>
      </c>
      <c r="U131" t="str">
        <f t="shared" si="43"/>
        <v xml:space="preserve"> Safe</v>
      </c>
      <c r="V131">
        <f t="shared" si="44"/>
        <v>4560</v>
      </c>
      <c r="W131" s="9">
        <f t="shared" si="45"/>
        <v>1218842.4000000001</v>
      </c>
      <c r="Y131">
        <f t="shared" ref="Y131:Y194" si="46">W131/$X$3</f>
        <v>2.7326470914801906E-3</v>
      </c>
      <c r="Z131" s="12">
        <f t="shared" si="37"/>
        <v>0.52293926845636118</v>
      </c>
      <c r="AA131" t="str">
        <f t="shared" ref="AA131:AA194" si="47">IF(Z131&lt;=80%,"A",IF(Z131&lt;=95%,"B","C"))</f>
        <v>A</v>
      </c>
      <c r="AB131" t="str">
        <f t="shared" ref="AB131:AB194" si="48">IF(P131&lt;=20%,"X",IF(P131&lt;=50%,"Y","Z"))</f>
        <v>X</v>
      </c>
      <c r="AC131" t="str">
        <f t="shared" ref="AC131:AC194" si="49">AA131&amp;AB131</f>
        <v>AX</v>
      </c>
      <c r="AD131" t="str">
        <f t="shared" ref="AD131:AD194" si="50">IF(AC131="AX","Strict Control",
IF(AC131="AY","Frequent Monitoring",
IF(AC131="AZ","Risk-Control Strategy",
IF(AC131="BX","Standard Control",
IF(AC131="BY","Periodic Review",
IF(AC131="BZ","Risk Monitoring",
IF(AC131="CX","Simplified Bulk Control",
IF(AC131="CY","Low-Priority Monitoring",
IF(AC131="CZ","Minimal Control","Check")))))))))</f>
        <v>Strict Control</v>
      </c>
      <c r="AE131" t="str">
        <f t="shared" ref="AE131:AE194" si="51">IF(AC131="AX","Daily",
IF(AC131="AY","Every 2 Days",
IF(AC131="AZ","Daily + Manager Review",
IF(AC131="BX","Weekly",
IF(AC131="BY","Bi-Weekly",
IF(AC131="BZ","Weekly Risk Review",
IF(AC131="CX","Monthly",
IF(AC131="CY","Monthly Review",
IF(AC131="CZ","Quarterly","Check")))))))))</f>
        <v>Daily</v>
      </c>
      <c r="AF131" t="str">
        <f t="shared" ref="AF131:AF194" si="52">IF(AC131="AX","Strict Replenishment",
IF(AC131="AY","Frequent Monitoring",
IF(AC131="AZ","Increase Safety Stock",
IF(AC131="BX","Standard Replenishment",
IF(AC131="BY","Periodic Review",
IF(AC131="BZ","Monitor Demand Variability",
IF(AC131="CX","Bulk Ordering",
IF(AC131="CY","Low Priority Monitoring",
IF(AC131="CZ","Reduce Inventory Exposure",
"Check")))))))))</f>
        <v>Strict Replenishment</v>
      </c>
      <c r="AG131" t="str">
        <f t="shared" ref="AG131:AG194" si="53">IF(AC131="AZ","Critical",
IF(AC131="AY","High",
IF(AC131="BZ","Medium",
IF(U131="Need to Order","Medium",
"Low"))))</f>
        <v>Low</v>
      </c>
      <c r="AH131">
        <f t="shared" ref="AH131:AH194" si="54">IF(AC131="AZ",40,
IF(AC131="AY",30,
IF(AC131="AX",20,10)))
+
IF(U131="Need to Order",30,
IF(U131="Risk",15,0))
+
IF(L131&lt;70,20,
IF(L131&lt;85,10,0))
+
IF(M131&gt;7,20,
IF(M131&gt;4,10,0))</f>
        <v>60</v>
      </c>
      <c r="AI131" t="str">
        <f t="shared" ref="AI131:AI194" si="55">IF(AH131&gt;=70,"Critical",
IF(AH131&gt;=60,"High",
IF(AH131&gt;=50,"Medium",
"Low")))</f>
        <v>High</v>
      </c>
    </row>
    <row r="132" spans="1:35">
      <c r="A132" t="s">
        <v>479</v>
      </c>
      <c r="B132" t="s">
        <v>14</v>
      </c>
      <c r="C132" t="s">
        <v>15</v>
      </c>
      <c r="D132" t="s">
        <v>16</v>
      </c>
      <c r="E132">
        <v>557</v>
      </c>
      <c r="F132">
        <v>294</v>
      </c>
      <c r="G132">
        <v>48</v>
      </c>
      <c r="H132">
        <v>11</v>
      </c>
      <c r="I132">
        <v>343.53</v>
      </c>
      <c r="J132">
        <v>0.17</v>
      </c>
      <c r="K132">
        <v>664</v>
      </c>
      <c r="L132">
        <v>0.72</v>
      </c>
      <c r="M132">
        <v>7</v>
      </c>
      <c r="N132" s="1">
        <f t="shared" si="38"/>
        <v>9.8000000000000007</v>
      </c>
      <c r="O132" s="1">
        <f>N132*(1+Control_Panel!$B$2)</f>
        <v>9.8000000000000007</v>
      </c>
      <c r="P132" s="12">
        <f t="shared" si="39"/>
        <v>0.16326530612244897</v>
      </c>
      <c r="Q132" t="str" cm="1">
        <f t="array" ref="Q132">_xlfn.IFS(P132&lt;0.2,"Stable",P132&lt;=0.5,"Moderate",P132&gt;0.5,"Highly veriable")</f>
        <v>Stable</v>
      </c>
      <c r="R132" s="1">
        <f t="shared" si="40"/>
        <v>159.19798993705919</v>
      </c>
      <c r="S132" s="1">
        <f t="shared" si="41"/>
        <v>179.9979899370592</v>
      </c>
      <c r="T132" s="1">
        <f t="shared" si="42"/>
        <v>377.00201006294083</v>
      </c>
      <c r="U132" t="str">
        <f t="shared" si="43"/>
        <v xml:space="preserve"> Safe</v>
      </c>
      <c r="V132">
        <f t="shared" si="44"/>
        <v>3528</v>
      </c>
      <c r="W132" s="9">
        <f t="shared" si="45"/>
        <v>1211973.8399999999</v>
      </c>
      <c r="Y132">
        <f t="shared" si="46"/>
        <v>2.7172477662625429E-3</v>
      </c>
      <c r="Z132" s="12">
        <f t="shared" ref="Z132:Z195" si="56">Z131+Y132</f>
        <v>0.52565651622262377</v>
      </c>
      <c r="AA132" t="str">
        <f t="shared" si="47"/>
        <v>A</v>
      </c>
      <c r="AB132" t="str">
        <f t="shared" si="48"/>
        <v>X</v>
      </c>
      <c r="AC132" t="str">
        <f t="shared" si="49"/>
        <v>AX</v>
      </c>
      <c r="AD132" t="str">
        <f t="shared" si="50"/>
        <v>Strict Control</v>
      </c>
      <c r="AE132" t="str">
        <f t="shared" si="51"/>
        <v>Daily</v>
      </c>
      <c r="AF132" t="str">
        <f t="shared" si="52"/>
        <v>Strict Replenishment</v>
      </c>
      <c r="AG132" t="str">
        <f t="shared" si="53"/>
        <v>Low</v>
      </c>
      <c r="AH132">
        <f t="shared" si="54"/>
        <v>50</v>
      </c>
      <c r="AI132" t="str">
        <f t="shared" si="55"/>
        <v>Medium</v>
      </c>
    </row>
    <row r="133" spans="1:35">
      <c r="A133" t="s">
        <v>297</v>
      </c>
      <c r="B133" t="s">
        <v>40</v>
      </c>
      <c r="C133" t="s">
        <v>22</v>
      </c>
      <c r="D133" t="s">
        <v>25</v>
      </c>
      <c r="E133">
        <v>827</v>
      </c>
      <c r="F133">
        <v>348</v>
      </c>
      <c r="G133">
        <v>41</v>
      </c>
      <c r="H133">
        <v>16</v>
      </c>
      <c r="I133">
        <v>290.14</v>
      </c>
      <c r="J133">
        <v>0.23</v>
      </c>
      <c r="K133">
        <v>414</v>
      </c>
      <c r="L133">
        <v>0.83</v>
      </c>
      <c r="M133">
        <v>7</v>
      </c>
      <c r="N133" s="1">
        <f t="shared" si="38"/>
        <v>11.6</v>
      </c>
      <c r="O133" s="1">
        <f>N133*(1+Control_Panel!$B$2)</f>
        <v>11.6</v>
      </c>
      <c r="P133" s="12">
        <f t="shared" si="39"/>
        <v>0.11781609195402298</v>
      </c>
      <c r="Q133" t="str" cm="1">
        <f t="array" ref="Q133">_xlfn.IFS(P133&lt;0.2,"Stable",P133&lt;=0.5,"Moderate",P133&gt;0.5,"Highly veriable")</f>
        <v>Stable</v>
      </c>
      <c r="R133" s="1">
        <f t="shared" si="40"/>
        <v>164</v>
      </c>
      <c r="S133" s="1">
        <f t="shared" si="41"/>
        <v>191.6</v>
      </c>
      <c r="T133" s="1">
        <f t="shared" si="42"/>
        <v>635.4</v>
      </c>
      <c r="U133" t="str">
        <f t="shared" si="43"/>
        <v xml:space="preserve"> Safe</v>
      </c>
      <c r="V133">
        <f t="shared" si="44"/>
        <v>4176</v>
      </c>
      <c r="W133" s="9">
        <f t="shared" si="45"/>
        <v>1211624.6399999999</v>
      </c>
      <c r="Y133">
        <f t="shared" si="46"/>
        <v>2.7164648591661501E-3</v>
      </c>
      <c r="Z133" s="12">
        <f t="shared" si="56"/>
        <v>0.52837298108178987</v>
      </c>
      <c r="AA133" t="str">
        <f t="shared" si="47"/>
        <v>A</v>
      </c>
      <c r="AB133" t="str">
        <f t="shared" si="48"/>
        <v>X</v>
      </c>
      <c r="AC133" t="str">
        <f t="shared" si="49"/>
        <v>AX</v>
      </c>
      <c r="AD133" t="str">
        <f t="shared" si="50"/>
        <v>Strict Control</v>
      </c>
      <c r="AE133" t="str">
        <f t="shared" si="51"/>
        <v>Daily</v>
      </c>
      <c r="AF133" t="str">
        <f t="shared" si="52"/>
        <v>Strict Replenishment</v>
      </c>
      <c r="AG133" t="str">
        <f t="shared" si="53"/>
        <v>Low</v>
      </c>
      <c r="AH133">
        <f t="shared" si="54"/>
        <v>50</v>
      </c>
      <c r="AI133" t="str">
        <f t="shared" si="55"/>
        <v>Medium</v>
      </c>
    </row>
    <row r="134" spans="1:35">
      <c r="A134" t="s">
        <v>492</v>
      </c>
      <c r="B134" t="s">
        <v>34</v>
      </c>
      <c r="C134" t="s">
        <v>15</v>
      </c>
      <c r="D134" t="s">
        <v>41</v>
      </c>
      <c r="E134">
        <v>613</v>
      </c>
      <c r="F134">
        <v>329</v>
      </c>
      <c r="G134">
        <v>18</v>
      </c>
      <c r="H134">
        <v>22</v>
      </c>
      <c r="I134">
        <v>305.29000000000002</v>
      </c>
      <c r="J134">
        <v>0.17</v>
      </c>
      <c r="K134">
        <v>661</v>
      </c>
      <c r="L134">
        <v>0.96</v>
      </c>
      <c r="M134">
        <v>8</v>
      </c>
      <c r="N134" s="1">
        <f t="shared" si="38"/>
        <v>10.966666666666667</v>
      </c>
      <c r="O134" s="1">
        <f>N134*(1+Control_Panel!$B$2)</f>
        <v>10.966666666666667</v>
      </c>
      <c r="P134" s="12">
        <f t="shared" si="39"/>
        <v>5.4711246200607903E-2</v>
      </c>
      <c r="Q134" t="str" cm="1">
        <f t="array" ref="Q134">_xlfn.IFS(P134&lt;0.2,"Stable",P134&lt;=0.5,"Moderate",P134&gt;0.5,"Highly veriable")</f>
        <v>Stable</v>
      </c>
      <c r="R134" s="1">
        <f t="shared" si="40"/>
        <v>84.427483676821737</v>
      </c>
      <c r="S134" s="1">
        <f t="shared" si="41"/>
        <v>117.39415034348841</v>
      </c>
      <c r="T134" s="1">
        <f t="shared" si="42"/>
        <v>495.60584965651162</v>
      </c>
      <c r="U134" t="str">
        <f t="shared" si="43"/>
        <v xml:space="preserve"> Safe</v>
      </c>
      <c r="V134">
        <f t="shared" si="44"/>
        <v>3948</v>
      </c>
      <c r="W134" s="9">
        <f t="shared" si="45"/>
        <v>1205284.9200000002</v>
      </c>
      <c r="Y134">
        <f t="shared" si="46"/>
        <v>2.7022511942831444E-3</v>
      </c>
      <c r="Z134" s="12">
        <f t="shared" si="56"/>
        <v>0.53107523227607301</v>
      </c>
      <c r="AA134" t="str">
        <f t="shared" si="47"/>
        <v>A</v>
      </c>
      <c r="AB134" t="str">
        <f t="shared" si="48"/>
        <v>X</v>
      </c>
      <c r="AC134" t="str">
        <f t="shared" si="49"/>
        <v>AX</v>
      </c>
      <c r="AD134" t="str">
        <f t="shared" si="50"/>
        <v>Strict Control</v>
      </c>
      <c r="AE134" t="str">
        <f t="shared" si="51"/>
        <v>Daily</v>
      </c>
      <c r="AF134" t="str">
        <f t="shared" si="52"/>
        <v>Strict Replenishment</v>
      </c>
      <c r="AG134" t="str">
        <f t="shared" si="53"/>
        <v>Low</v>
      </c>
      <c r="AH134">
        <f t="shared" si="54"/>
        <v>60</v>
      </c>
      <c r="AI134" t="str">
        <f t="shared" si="55"/>
        <v>High</v>
      </c>
    </row>
    <row r="135" spans="1:35">
      <c r="A135" t="s">
        <v>204</v>
      </c>
      <c r="B135" t="s">
        <v>21</v>
      </c>
      <c r="C135" t="s">
        <v>22</v>
      </c>
      <c r="D135" t="s">
        <v>41</v>
      </c>
      <c r="E135">
        <v>40</v>
      </c>
      <c r="F135">
        <v>293</v>
      </c>
      <c r="G135">
        <v>5</v>
      </c>
      <c r="H135">
        <v>13</v>
      </c>
      <c r="I135">
        <v>342.06</v>
      </c>
      <c r="J135">
        <v>0.09</v>
      </c>
      <c r="K135">
        <v>639</v>
      </c>
      <c r="L135">
        <v>0.9</v>
      </c>
      <c r="M135">
        <v>8</v>
      </c>
      <c r="N135" s="1">
        <f t="shared" si="38"/>
        <v>9.7666666666666675</v>
      </c>
      <c r="O135" s="1">
        <f>N135*(1+Control_Panel!$B$2)</f>
        <v>9.7666666666666675</v>
      </c>
      <c r="P135" s="12">
        <f t="shared" si="39"/>
        <v>1.7064846416382253E-2</v>
      </c>
      <c r="Q135" t="str" cm="1">
        <f t="array" ref="Q135">_xlfn.IFS(P135&lt;0.2,"Stable",P135&lt;=0.5,"Moderate",P135&gt;0.5,"Highly veriable")</f>
        <v>Stable</v>
      </c>
      <c r="R135" s="1">
        <f t="shared" si="40"/>
        <v>18.027756377319946</v>
      </c>
      <c r="S135" s="1">
        <f t="shared" si="41"/>
        <v>40.794423043986612</v>
      </c>
      <c r="T135" s="1">
        <f t="shared" si="42"/>
        <v>-0.79442304398661179</v>
      </c>
      <c r="U135" t="str">
        <f t="shared" si="43"/>
        <v xml:space="preserve"> Need to Order</v>
      </c>
      <c r="V135">
        <f t="shared" si="44"/>
        <v>3516</v>
      </c>
      <c r="W135" s="9">
        <f t="shared" si="45"/>
        <v>1202682.96</v>
      </c>
      <c r="Y135">
        <f t="shared" si="46"/>
        <v>2.6964175947741774E-3</v>
      </c>
      <c r="Z135" s="12">
        <f t="shared" si="56"/>
        <v>0.53377164987084713</v>
      </c>
      <c r="AA135" t="str">
        <f t="shared" si="47"/>
        <v>A</v>
      </c>
      <c r="AB135" t="str">
        <f t="shared" si="48"/>
        <v>X</v>
      </c>
      <c r="AC135" t="str">
        <f t="shared" si="49"/>
        <v>AX</v>
      </c>
      <c r="AD135" t="str">
        <f t="shared" si="50"/>
        <v>Strict Control</v>
      </c>
      <c r="AE135" t="str">
        <f t="shared" si="51"/>
        <v>Daily</v>
      </c>
      <c r="AF135" t="str">
        <f t="shared" si="52"/>
        <v>Strict Replenishment</v>
      </c>
      <c r="AG135" t="str">
        <f t="shared" si="53"/>
        <v>Low</v>
      </c>
      <c r="AH135">
        <f t="shared" si="54"/>
        <v>60</v>
      </c>
      <c r="AI135" t="str">
        <f t="shared" si="55"/>
        <v>High</v>
      </c>
    </row>
    <row r="136" spans="1:35">
      <c r="A136" t="s">
        <v>230</v>
      </c>
      <c r="B136" t="s">
        <v>14</v>
      </c>
      <c r="C136" t="s">
        <v>22</v>
      </c>
      <c r="D136" t="s">
        <v>16</v>
      </c>
      <c r="E136">
        <v>675</v>
      </c>
      <c r="F136">
        <v>303</v>
      </c>
      <c r="G136">
        <v>30</v>
      </c>
      <c r="H136">
        <v>15</v>
      </c>
      <c r="I136">
        <v>328.15</v>
      </c>
      <c r="J136">
        <v>0.06</v>
      </c>
      <c r="K136">
        <v>865</v>
      </c>
      <c r="L136">
        <v>0.77</v>
      </c>
      <c r="M136">
        <v>3</v>
      </c>
      <c r="N136" s="1">
        <f t="shared" si="38"/>
        <v>10.1</v>
      </c>
      <c r="O136" s="1">
        <f>N136*(1+Control_Panel!$B$2)</f>
        <v>10.1</v>
      </c>
      <c r="P136" s="12">
        <f t="shared" si="39"/>
        <v>9.9009900990099015E-2</v>
      </c>
      <c r="Q136" t="str" cm="1">
        <f t="array" ref="Q136">_xlfn.IFS(P136&lt;0.2,"Stable",P136&lt;=0.5,"Moderate",P136&gt;0.5,"Highly veriable")</f>
        <v>Stable</v>
      </c>
      <c r="R136" s="1">
        <f t="shared" si="40"/>
        <v>116.18950038622251</v>
      </c>
      <c r="S136" s="1">
        <f t="shared" si="41"/>
        <v>141.2895003862225</v>
      </c>
      <c r="T136" s="1">
        <f t="shared" si="42"/>
        <v>533.71049961377753</v>
      </c>
      <c r="U136" t="str">
        <f t="shared" si="43"/>
        <v xml:space="preserve"> Safe</v>
      </c>
      <c r="V136">
        <f t="shared" si="44"/>
        <v>3636</v>
      </c>
      <c r="W136" s="9">
        <f t="shared" si="45"/>
        <v>1193153.3999999999</v>
      </c>
      <c r="Y136">
        <f t="shared" si="46"/>
        <v>2.6750523022498231E-3</v>
      </c>
      <c r="Z136" s="12">
        <f t="shared" si="56"/>
        <v>0.53644670217309698</v>
      </c>
      <c r="AA136" t="str">
        <f t="shared" si="47"/>
        <v>A</v>
      </c>
      <c r="AB136" t="str">
        <f t="shared" si="48"/>
        <v>X</v>
      </c>
      <c r="AC136" t="str">
        <f t="shared" si="49"/>
        <v>AX</v>
      </c>
      <c r="AD136" t="str">
        <f t="shared" si="50"/>
        <v>Strict Control</v>
      </c>
      <c r="AE136" t="str">
        <f t="shared" si="51"/>
        <v>Daily</v>
      </c>
      <c r="AF136" t="str">
        <f t="shared" si="52"/>
        <v>Strict Replenishment</v>
      </c>
      <c r="AG136" t="str">
        <f t="shared" si="53"/>
        <v>Low</v>
      </c>
      <c r="AH136">
        <f t="shared" si="54"/>
        <v>40</v>
      </c>
      <c r="AI136" t="str">
        <f t="shared" si="55"/>
        <v>Low</v>
      </c>
    </row>
    <row r="137" spans="1:35">
      <c r="A137" t="s">
        <v>73</v>
      </c>
      <c r="B137" t="s">
        <v>14</v>
      </c>
      <c r="C137" t="s">
        <v>22</v>
      </c>
      <c r="D137" t="s">
        <v>16</v>
      </c>
      <c r="E137">
        <v>455</v>
      </c>
      <c r="F137">
        <v>257</v>
      </c>
      <c r="G137">
        <v>62</v>
      </c>
      <c r="H137">
        <v>2</v>
      </c>
      <c r="I137">
        <v>385.3</v>
      </c>
      <c r="J137">
        <v>0.15</v>
      </c>
      <c r="K137">
        <v>948</v>
      </c>
      <c r="L137">
        <v>0.94</v>
      </c>
      <c r="M137">
        <v>1</v>
      </c>
      <c r="N137" s="1">
        <f t="shared" si="38"/>
        <v>8.5666666666666664</v>
      </c>
      <c r="O137" s="1">
        <f>N137*(1+Control_Panel!$B$2)</f>
        <v>8.5666666666666664</v>
      </c>
      <c r="P137" s="12">
        <f t="shared" si="39"/>
        <v>0.24124513618677043</v>
      </c>
      <c r="Q137" t="str" cm="1">
        <f t="array" ref="Q137">_xlfn.IFS(P137&lt;0.2,"Stable",P137&lt;=0.5,"Moderate",P137&gt;0.5,"Highly veriable")</f>
        <v>Moderate</v>
      </c>
      <c r="R137" s="1">
        <f t="shared" si="40"/>
        <v>87.681240867131905</v>
      </c>
      <c r="S137" s="1">
        <f t="shared" si="41"/>
        <v>98.247907533798568</v>
      </c>
      <c r="T137" s="1">
        <f t="shared" si="42"/>
        <v>356.75209246620142</v>
      </c>
      <c r="U137" t="str">
        <f t="shared" si="43"/>
        <v xml:space="preserve"> Safe</v>
      </c>
      <c r="V137">
        <f t="shared" si="44"/>
        <v>3084</v>
      </c>
      <c r="W137" s="9">
        <f t="shared" si="45"/>
        <v>1188265.2</v>
      </c>
      <c r="Y137">
        <f t="shared" si="46"/>
        <v>2.6640929481015151E-3</v>
      </c>
      <c r="Z137" s="12">
        <f t="shared" si="56"/>
        <v>0.53911079512119853</v>
      </c>
      <c r="AA137" t="str">
        <f t="shared" si="47"/>
        <v>A</v>
      </c>
      <c r="AB137" t="str">
        <f t="shared" si="48"/>
        <v>Y</v>
      </c>
      <c r="AC137" t="str">
        <f t="shared" si="49"/>
        <v>AY</v>
      </c>
      <c r="AD137" t="str">
        <f t="shared" si="50"/>
        <v>Frequent Monitoring</v>
      </c>
      <c r="AE137" t="str">
        <f t="shared" si="51"/>
        <v>Every 2 Days</v>
      </c>
      <c r="AF137" t="str">
        <f t="shared" si="52"/>
        <v>Frequent Monitoring</v>
      </c>
      <c r="AG137" t="str">
        <f t="shared" si="53"/>
        <v>High</v>
      </c>
      <c r="AH137">
        <f t="shared" si="54"/>
        <v>50</v>
      </c>
      <c r="AI137" t="str">
        <f t="shared" si="55"/>
        <v>Medium</v>
      </c>
    </row>
    <row r="138" spans="1:35">
      <c r="A138" t="s">
        <v>405</v>
      </c>
      <c r="B138" t="s">
        <v>36</v>
      </c>
      <c r="C138" t="s">
        <v>15</v>
      </c>
      <c r="D138" t="s">
        <v>41</v>
      </c>
      <c r="E138">
        <v>839</v>
      </c>
      <c r="F138">
        <v>393</v>
      </c>
      <c r="G138">
        <v>89</v>
      </c>
      <c r="H138">
        <v>13</v>
      </c>
      <c r="I138">
        <v>249.58</v>
      </c>
      <c r="J138">
        <v>0.16</v>
      </c>
      <c r="K138">
        <v>634</v>
      </c>
      <c r="L138">
        <v>0.82</v>
      </c>
      <c r="M138">
        <v>9</v>
      </c>
      <c r="N138" s="1">
        <f t="shared" si="38"/>
        <v>13.1</v>
      </c>
      <c r="O138" s="1">
        <f>N138*(1+Control_Panel!$B$2)</f>
        <v>13.1</v>
      </c>
      <c r="P138" s="12">
        <f t="shared" si="39"/>
        <v>0.22646310432569974</v>
      </c>
      <c r="Q138" t="str" cm="1">
        <f t="array" ref="Q138">_xlfn.IFS(P138&lt;0.2,"Stable",P138&lt;=0.5,"Moderate",P138&gt;0.5,"Highly veriable")</f>
        <v>Moderate</v>
      </c>
      <c r="R138" s="1">
        <f t="shared" si="40"/>
        <v>320.89406351629503</v>
      </c>
      <c r="S138" s="1">
        <f t="shared" si="41"/>
        <v>346.99406351629506</v>
      </c>
      <c r="T138" s="1">
        <f t="shared" si="42"/>
        <v>492.00593648370494</v>
      </c>
      <c r="U138" t="str">
        <f t="shared" si="43"/>
        <v xml:space="preserve"> Safe</v>
      </c>
      <c r="V138">
        <f t="shared" si="44"/>
        <v>4716</v>
      </c>
      <c r="W138" s="9">
        <f t="shared" si="45"/>
        <v>1177019.28</v>
      </c>
      <c r="Y138">
        <f t="shared" si="46"/>
        <v>2.6388795730343051E-3</v>
      </c>
      <c r="Z138" s="12">
        <f t="shared" si="56"/>
        <v>0.54174967469423285</v>
      </c>
      <c r="AA138" t="str">
        <f t="shared" si="47"/>
        <v>A</v>
      </c>
      <c r="AB138" t="str">
        <f t="shared" si="48"/>
        <v>Y</v>
      </c>
      <c r="AC138" t="str">
        <f t="shared" si="49"/>
        <v>AY</v>
      </c>
      <c r="AD138" t="str">
        <f t="shared" si="50"/>
        <v>Frequent Monitoring</v>
      </c>
      <c r="AE138" t="str">
        <f t="shared" si="51"/>
        <v>Every 2 Days</v>
      </c>
      <c r="AF138" t="str">
        <f t="shared" si="52"/>
        <v>Frequent Monitoring</v>
      </c>
      <c r="AG138" t="str">
        <f t="shared" si="53"/>
        <v>High</v>
      </c>
      <c r="AH138">
        <f t="shared" si="54"/>
        <v>70</v>
      </c>
      <c r="AI138" t="str">
        <f t="shared" si="55"/>
        <v>Critical</v>
      </c>
    </row>
    <row r="139" spans="1:35">
      <c r="A139" t="s">
        <v>390</v>
      </c>
      <c r="B139" t="s">
        <v>21</v>
      </c>
      <c r="C139" t="s">
        <v>15</v>
      </c>
      <c r="D139" t="s">
        <v>25</v>
      </c>
      <c r="E139">
        <v>69</v>
      </c>
      <c r="F139">
        <v>470</v>
      </c>
      <c r="G139">
        <v>34</v>
      </c>
      <c r="H139">
        <v>9</v>
      </c>
      <c r="I139">
        <v>207.45</v>
      </c>
      <c r="J139">
        <v>0.09</v>
      </c>
      <c r="K139">
        <v>213</v>
      </c>
      <c r="L139">
        <v>0.92</v>
      </c>
      <c r="M139">
        <v>5</v>
      </c>
      <c r="N139" s="1">
        <f t="shared" si="38"/>
        <v>15.666666666666666</v>
      </c>
      <c r="O139" s="1">
        <f>N139*(1+Control_Panel!$B$2)</f>
        <v>15.666666666666666</v>
      </c>
      <c r="P139" s="12">
        <f t="shared" si="39"/>
        <v>7.2340425531914887E-2</v>
      </c>
      <c r="Q139" t="str" cm="1">
        <f t="array" ref="Q139">_xlfn.IFS(P139&lt;0.2,"Stable",P139&lt;=0.5,"Moderate",P139&gt;0.5,"Highly veriable")</f>
        <v>Stable</v>
      </c>
      <c r="R139" s="1">
        <f t="shared" si="40"/>
        <v>102</v>
      </c>
      <c r="S139" s="1">
        <f t="shared" si="41"/>
        <v>126.66666666666666</v>
      </c>
      <c r="T139" s="1">
        <f t="shared" si="42"/>
        <v>-57.666666666666657</v>
      </c>
      <c r="U139" t="str">
        <f t="shared" si="43"/>
        <v xml:space="preserve"> Need to Order</v>
      </c>
      <c r="V139">
        <f t="shared" si="44"/>
        <v>5640</v>
      </c>
      <c r="W139" s="9">
        <f t="shared" si="45"/>
        <v>1170018</v>
      </c>
      <c r="Y139">
        <f t="shared" si="46"/>
        <v>2.6231826893119807E-3</v>
      </c>
      <c r="Z139" s="12">
        <f t="shared" si="56"/>
        <v>0.54437285738354479</v>
      </c>
      <c r="AA139" t="str">
        <f t="shared" si="47"/>
        <v>A</v>
      </c>
      <c r="AB139" t="str">
        <f t="shared" si="48"/>
        <v>X</v>
      </c>
      <c r="AC139" t="str">
        <f t="shared" si="49"/>
        <v>AX</v>
      </c>
      <c r="AD139" t="str">
        <f t="shared" si="50"/>
        <v>Strict Control</v>
      </c>
      <c r="AE139" t="str">
        <f t="shared" si="51"/>
        <v>Daily</v>
      </c>
      <c r="AF139" t="str">
        <f t="shared" si="52"/>
        <v>Strict Replenishment</v>
      </c>
      <c r="AG139" t="str">
        <f t="shared" si="53"/>
        <v>Low</v>
      </c>
      <c r="AH139">
        <f t="shared" si="54"/>
        <v>50</v>
      </c>
      <c r="AI139" t="str">
        <f t="shared" si="55"/>
        <v>Medium</v>
      </c>
    </row>
    <row r="140" spans="1:35">
      <c r="A140" t="s">
        <v>92</v>
      </c>
      <c r="B140" t="s">
        <v>34</v>
      </c>
      <c r="C140" t="s">
        <v>22</v>
      </c>
      <c r="D140" t="s">
        <v>23</v>
      </c>
      <c r="E140">
        <v>596</v>
      </c>
      <c r="F140">
        <v>433</v>
      </c>
      <c r="G140">
        <v>68</v>
      </c>
      <c r="H140">
        <v>22</v>
      </c>
      <c r="I140">
        <v>224.91</v>
      </c>
      <c r="J140">
        <v>0.2</v>
      </c>
      <c r="K140">
        <v>153</v>
      </c>
      <c r="L140">
        <v>0.82</v>
      </c>
      <c r="M140">
        <v>7</v>
      </c>
      <c r="N140" s="1">
        <f t="shared" si="38"/>
        <v>14.433333333333334</v>
      </c>
      <c r="O140" s="1">
        <f>N140*(1+Control_Panel!$B$2)</f>
        <v>14.433333333333334</v>
      </c>
      <c r="P140" s="12">
        <f t="shared" si="39"/>
        <v>0.15704387990762125</v>
      </c>
      <c r="Q140" t="str" cm="1">
        <f t="array" ref="Q140">_xlfn.IFS(P140&lt;0.2,"Stable",P140&lt;=0.5,"Moderate",P140&gt;0.5,"Highly veriable")</f>
        <v>Stable</v>
      </c>
      <c r="R140" s="1">
        <f t="shared" si="40"/>
        <v>318.9482716679932</v>
      </c>
      <c r="S140" s="1">
        <f t="shared" si="41"/>
        <v>355.38160500132653</v>
      </c>
      <c r="T140" s="1">
        <f t="shared" si="42"/>
        <v>240.61839499867347</v>
      </c>
      <c r="U140" t="str">
        <f t="shared" si="43"/>
        <v xml:space="preserve"> Risk</v>
      </c>
      <c r="V140">
        <f t="shared" si="44"/>
        <v>5196</v>
      </c>
      <c r="W140" s="9">
        <f t="shared" si="45"/>
        <v>1168632.3599999999</v>
      </c>
      <c r="Y140">
        <f t="shared" si="46"/>
        <v>2.6200760816686638E-3</v>
      </c>
      <c r="Z140" s="12">
        <f t="shared" si="56"/>
        <v>0.54699293346521349</v>
      </c>
      <c r="AA140" t="str">
        <f t="shared" si="47"/>
        <v>A</v>
      </c>
      <c r="AB140" t="str">
        <f t="shared" si="48"/>
        <v>X</v>
      </c>
      <c r="AC140" t="str">
        <f t="shared" si="49"/>
        <v>AX</v>
      </c>
      <c r="AD140" t="str">
        <f t="shared" si="50"/>
        <v>Strict Control</v>
      </c>
      <c r="AE140" t="str">
        <f t="shared" si="51"/>
        <v>Daily</v>
      </c>
      <c r="AF140" t="str">
        <f t="shared" si="52"/>
        <v>Strict Replenishment</v>
      </c>
      <c r="AG140" t="str">
        <f t="shared" si="53"/>
        <v>Low</v>
      </c>
      <c r="AH140">
        <f t="shared" si="54"/>
        <v>50</v>
      </c>
      <c r="AI140" t="str">
        <f t="shared" si="55"/>
        <v>Medium</v>
      </c>
    </row>
    <row r="141" spans="1:35">
      <c r="A141" t="s">
        <v>63</v>
      </c>
      <c r="B141" t="s">
        <v>18</v>
      </c>
      <c r="C141" t="s">
        <v>22</v>
      </c>
      <c r="D141" t="s">
        <v>41</v>
      </c>
      <c r="E141">
        <v>100</v>
      </c>
      <c r="F141">
        <v>305</v>
      </c>
      <c r="G141">
        <v>16</v>
      </c>
      <c r="H141">
        <v>19</v>
      </c>
      <c r="I141">
        <v>318.83999999999997</v>
      </c>
      <c r="J141">
        <v>0.09</v>
      </c>
      <c r="K141">
        <v>101</v>
      </c>
      <c r="L141">
        <v>0.93</v>
      </c>
      <c r="M141">
        <v>8</v>
      </c>
      <c r="N141" s="1">
        <f t="shared" si="38"/>
        <v>10.166666666666666</v>
      </c>
      <c r="O141" s="1">
        <f>N141*(1+Control_Panel!$B$2)</f>
        <v>10.166666666666666</v>
      </c>
      <c r="P141" s="12">
        <f t="shared" si="39"/>
        <v>5.2459016393442623E-2</v>
      </c>
      <c r="Q141" t="str" cm="1">
        <f t="array" ref="Q141">_xlfn.IFS(P141&lt;0.2,"Stable",P141&lt;=0.5,"Moderate",P141&gt;0.5,"Highly veriable")</f>
        <v>Stable</v>
      </c>
      <c r="R141" s="1">
        <f t="shared" si="40"/>
        <v>69.742383096650784</v>
      </c>
      <c r="S141" s="1">
        <f t="shared" si="41"/>
        <v>98.909049763317455</v>
      </c>
      <c r="T141" s="1">
        <f t="shared" si="42"/>
        <v>1.090950236682545</v>
      </c>
      <c r="U141" t="str">
        <f t="shared" si="43"/>
        <v xml:space="preserve"> Risk</v>
      </c>
      <c r="V141">
        <f t="shared" si="44"/>
        <v>3660</v>
      </c>
      <c r="W141" s="9">
        <f t="shared" si="45"/>
        <v>1166954.3999999999</v>
      </c>
      <c r="Y141">
        <f t="shared" si="46"/>
        <v>2.6163140920023868E-3</v>
      </c>
      <c r="Z141" s="12">
        <f t="shared" si="56"/>
        <v>0.54960924755721585</v>
      </c>
      <c r="AA141" t="str">
        <f t="shared" si="47"/>
        <v>A</v>
      </c>
      <c r="AB141" t="str">
        <f t="shared" si="48"/>
        <v>X</v>
      </c>
      <c r="AC141" t="str">
        <f t="shared" si="49"/>
        <v>AX</v>
      </c>
      <c r="AD141" t="str">
        <f t="shared" si="50"/>
        <v>Strict Control</v>
      </c>
      <c r="AE141" t="str">
        <f t="shared" si="51"/>
        <v>Daily</v>
      </c>
      <c r="AF141" t="str">
        <f t="shared" si="52"/>
        <v>Strict Replenishment</v>
      </c>
      <c r="AG141" t="str">
        <f t="shared" si="53"/>
        <v>Low</v>
      </c>
      <c r="AH141">
        <f t="shared" si="54"/>
        <v>60</v>
      </c>
      <c r="AI141" t="str">
        <f t="shared" si="55"/>
        <v>High</v>
      </c>
    </row>
    <row r="142" spans="1:35">
      <c r="A142" t="s">
        <v>504</v>
      </c>
      <c r="B142" t="s">
        <v>40</v>
      </c>
      <c r="C142" t="s">
        <v>22</v>
      </c>
      <c r="D142" t="s">
        <v>23</v>
      </c>
      <c r="E142">
        <v>928</v>
      </c>
      <c r="F142">
        <v>363</v>
      </c>
      <c r="G142">
        <v>63</v>
      </c>
      <c r="H142">
        <v>19</v>
      </c>
      <c r="I142">
        <v>267.06</v>
      </c>
      <c r="J142">
        <v>0.19</v>
      </c>
      <c r="K142">
        <v>577</v>
      </c>
      <c r="L142">
        <v>0.79</v>
      </c>
      <c r="M142">
        <v>3</v>
      </c>
      <c r="N142" s="1">
        <f t="shared" si="38"/>
        <v>12.1</v>
      </c>
      <c r="O142" s="1">
        <f>N142*(1+Control_Panel!$B$2)</f>
        <v>12.1</v>
      </c>
      <c r="P142" s="12">
        <f t="shared" si="39"/>
        <v>0.17355371900826447</v>
      </c>
      <c r="Q142" t="str" cm="1">
        <f t="array" ref="Q142">_xlfn.IFS(P142&lt;0.2,"Stable",P142&lt;=0.5,"Moderate",P142&gt;0.5,"Highly veriable")</f>
        <v>Stable</v>
      </c>
      <c r="R142" s="1">
        <f t="shared" si="40"/>
        <v>274.61063344306245</v>
      </c>
      <c r="S142" s="1">
        <f t="shared" si="41"/>
        <v>305.71063344306248</v>
      </c>
      <c r="T142" s="1">
        <f t="shared" si="42"/>
        <v>622.28936655693747</v>
      </c>
      <c r="U142" t="str">
        <f t="shared" si="43"/>
        <v xml:space="preserve"> Safe</v>
      </c>
      <c r="V142">
        <f t="shared" si="44"/>
        <v>4356</v>
      </c>
      <c r="W142" s="9">
        <f t="shared" si="45"/>
        <v>1163313.3600000001</v>
      </c>
      <c r="Y142">
        <f t="shared" si="46"/>
        <v>2.6081508730612323E-3</v>
      </c>
      <c r="Z142" s="12">
        <f t="shared" si="56"/>
        <v>0.55221739843027706</v>
      </c>
      <c r="AA142" t="str">
        <f t="shared" si="47"/>
        <v>A</v>
      </c>
      <c r="AB142" t="str">
        <f t="shared" si="48"/>
        <v>X</v>
      </c>
      <c r="AC142" t="str">
        <f t="shared" si="49"/>
        <v>AX</v>
      </c>
      <c r="AD142" t="str">
        <f t="shared" si="50"/>
        <v>Strict Control</v>
      </c>
      <c r="AE142" t="str">
        <f t="shared" si="51"/>
        <v>Daily</v>
      </c>
      <c r="AF142" t="str">
        <f t="shared" si="52"/>
        <v>Strict Replenishment</v>
      </c>
      <c r="AG142" t="str">
        <f t="shared" si="53"/>
        <v>Low</v>
      </c>
      <c r="AH142">
        <f t="shared" si="54"/>
        <v>40</v>
      </c>
      <c r="AI142" t="str">
        <f t="shared" si="55"/>
        <v>Low</v>
      </c>
    </row>
    <row r="143" spans="1:35">
      <c r="A143" t="s">
        <v>486</v>
      </c>
      <c r="B143" t="s">
        <v>18</v>
      </c>
      <c r="C143" t="s">
        <v>22</v>
      </c>
      <c r="D143" t="s">
        <v>41</v>
      </c>
      <c r="E143">
        <v>152</v>
      </c>
      <c r="F143">
        <v>347</v>
      </c>
      <c r="G143">
        <v>85</v>
      </c>
      <c r="H143">
        <v>5</v>
      </c>
      <c r="I143">
        <v>278.72000000000003</v>
      </c>
      <c r="J143">
        <v>0.22</v>
      </c>
      <c r="K143">
        <v>184</v>
      </c>
      <c r="L143">
        <v>0.95</v>
      </c>
      <c r="M143">
        <v>7</v>
      </c>
      <c r="N143" s="1">
        <f t="shared" si="38"/>
        <v>11.566666666666666</v>
      </c>
      <c r="O143" s="1">
        <f>N143*(1+Control_Panel!$B$2)</f>
        <v>11.566666666666666</v>
      </c>
      <c r="P143" s="12">
        <f t="shared" si="39"/>
        <v>0.24495677233429394</v>
      </c>
      <c r="Q143" t="str" cm="1">
        <f t="array" ref="Q143">_xlfn.IFS(P143&lt;0.2,"Stable",P143&lt;=0.5,"Moderate",P143&gt;0.5,"Highly veriable")</f>
        <v>Moderate</v>
      </c>
      <c r="R143" s="1">
        <f t="shared" si="40"/>
        <v>190.06577808748213</v>
      </c>
      <c r="S143" s="1">
        <f t="shared" si="41"/>
        <v>206.63244475414879</v>
      </c>
      <c r="T143" s="1">
        <f t="shared" si="42"/>
        <v>-54.632444754148793</v>
      </c>
      <c r="U143" t="str">
        <f t="shared" si="43"/>
        <v xml:space="preserve"> Need to Order</v>
      </c>
      <c r="V143">
        <f t="shared" si="44"/>
        <v>4164</v>
      </c>
      <c r="W143" s="9">
        <f t="shared" si="45"/>
        <v>1160590.08</v>
      </c>
      <c r="Y143">
        <f t="shared" si="46"/>
        <v>2.6020452738703226E-3</v>
      </c>
      <c r="Z143" s="12">
        <f t="shared" si="56"/>
        <v>0.55481944370414737</v>
      </c>
      <c r="AA143" t="str">
        <f t="shared" si="47"/>
        <v>A</v>
      </c>
      <c r="AB143" t="str">
        <f t="shared" si="48"/>
        <v>Y</v>
      </c>
      <c r="AC143" t="str">
        <f t="shared" si="49"/>
        <v>AY</v>
      </c>
      <c r="AD143" t="str">
        <f t="shared" si="50"/>
        <v>Frequent Monitoring</v>
      </c>
      <c r="AE143" t="str">
        <f t="shared" si="51"/>
        <v>Every 2 Days</v>
      </c>
      <c r="AF143" t="str">
        <f t="shared" si="52"/>
        <v>Frequent Monitoring</v>
      </c>
      <c r="AG143" t="str">
        <f t="shared" si="53"/>
        <v>High</v>
      </c>
      <c r="AH143">
        <f t="shared" si="54"/>
        <v>60</v>
      </c>
      <c r="AI143" t="str">
        <f t="shared" si="55"/>
        <v>High</v>
      </c>
    </row>
    <row r="144" spans="1:35">
      <c r="A144" t="s">
        <v>119</v>
      </c>
      <c r="B144" t="s">
        <v>36</v>
      </c>
      <c r="C144" t="s">
        <v>15</v>
      </c>
      <c r="D144" t="s">
        <v>16</v>
      </c>
      <c r="E144">
        <v>633</v>
      </c>
      <c r="F144">
        <v>484</v>
      </c>
      <c r="G144">
        <v>30</v>
      </c>
      <c r="H144">
        <v>24</v>
      </c>
      <c r="I144">
        <v>199.61</v>
      </c>
      <c r="J144">
        <v>0.24</v>
      </c>
      <c r="K144">
        <v>557</v>
      </c>
      <c r="L144">
        <v>0.95</v>
      </c>
      <c r="M144">
        <v>6</v>
      </c>
      <c r="N144" s="1">
        <f t="shared" si="38"/>
        <v>16.133333333333333</v>
      </c>
      <c r="O144" s="1">
        <f>N144*(1+Control_Panel!$B$2)</f>
        <v>16.133333333333333</v>
      </c>
      <c r="P144" s="12">
        <f t="shared" si="39"/>
        <v>6.1983471074380167E-2</v>
      </c>
      <c r="Q144" t="str" cm="1">
        <f t="array" ref="Q144">_xlfn.IFS(P144&lt;0.2,"Stable",P144&lt;=0.5,"Moderate",P144&gt;0.5,"Highly veriable")</f>
        <v>Stable</v>
      </c>
      <c r="R144" s="1">
        <f t="shared" si="40"/>
        <v>146.96938456699067</v>
      </c>
      <c r="S144" s="1">
        <f t="shared" si="41"/>
        <v>187.102717900324</v>
      </c>
      <c r="T144" s="1">
        <f t="shared" si="42"/>
        <v>445.89728209967598</v>
      </c>
      <c r="U144" t="str">
        <f t="shared" si="43"/>
        <v xml:space="preserve"> Safe</v>
      </c>
      <c r="V144">
        <f t="shared" si="44"/>
        <v>5808</v>
      </c>
      <c r="W144" s="9">
        <f t="shared" si="45"/>
        <v>1159334.8800000001</v>
      </c>
      <c r="Y144">
        <f t="shared" si="46"/>
        <v>2.5992311129671365E-3</v>
      </c>
      <c r="Z144" s="12">
        <f t="shared" si="56"/>
        <v>0.55741867481711449</v>
      </c>
      <c r="AA144" t="str">
        <f t="shared" si="47"/>
        <v>A</v>
      </c>
      <c r="AB144" t="str">
        <f t="shared" si="48"/>
        <v>X</v>
      </c>
      <c r="AC144" t="str">
        <f t="shared" si="49"/>
        <v>AX</v>
      </c>
      <c r="AD144" t="str">
        <f t="shared" si="50"/>
        <v>Strict Control</v>
      </c>
      <c r="AE144" t="str">
        <f t="shared" si="51"/>
        <v>Daily</v>
      </c>
      <c r="AF144" t="str">
        <f t="shared" si="52"/>
        <v>Strict Replenishment</v>
      </c>
      <c r="AG144" t="str">
        <f t="shared" si="53"/>
        <v>Low</v>
      </c>
      <c r="AH144">
        <f t="shared" si="54"/>
        <v>50</v>
      </c>
      <c r="AI144" t="str">
        <f t="shared" si="55"/>
        <v>Medium</v>
      </c>
    </row>
    <row r="145" spans="1:35">
      <c r="A145" t="s">
        <v>361</v>
      </c>
      <c r="B145" t="s">
        <v>38</v>
      </c>
      <c r="C145" t="s">
        <v>15</v>
      </c>
      <c r="D145" t="s">
        <v>19</v>
      </c>
      <c r="E145">
        <v>851</v>
      </c>
      <c r="F145">
        <v>286</v>
      </c>
      <c r="G145">
        <v>72</v>
      </c>
      <c r="H145">
        <v>9</v>
      </c>
      <c r="I145">
        <v>337.42</v>
      </c>
      <c r="J145">
        <v>0.22</v>
      </c>
      <c r="K145">
        <v>431</v>
      </c>
      <c r="L145">
        <v>0.94</v>
      </c>
      <c r="M145">
        <v>2</v>
      </c>
      <c r="N145" s="1">
        <f t="shared" si="38"/>
        <v>9.5333333333333332</v>
      </c>
      <c r="O145" s="1">
        <f>N145*(1+Control_Panel!$B$2)</f>
        <v>9.5333333333333332</v>
      </c>
      <c r="P145" s="12">
        <f t="shared" si="39"/>
        <v>0.25174825174825177</v>
      </c>
      <c r="Q145" t="str" cm="1">
        <f t="array" ref="Q145">_xlfn.IFS(P145&lt;0.2,"Stable",P145&lt;=0.5,"Moderate",P145&gt;0.5,"Highly veriable")</f>
        <v>Moderate</v>
      </c>
      <c r="R145" s="1">
        <f t="shared" si="40"/>
        <v>216</v>
      </c>
      <c r="S145" s="1">
        <f t="shared" si="41"/>
        <v>234.53333333333333</v>
      </c>
      <c r="T145" s="1">
        <f t="shared" si="42"/>
        <v>616.4666666666667</v>
      </c>
      <c r="U145" t="str">
        <f t="shared" si="43"/>
        <v xml:space="preserve"> Safe</v>
      </c>
      <c r="V145">
        <f t="shared" si="44"/>
        <v>3432</v>
      </c>
      <c r="W145" s="9">
        <f t="shared" si="45"/>
        <v>1158025.44</v>
      </c>
      <c r="Y145">
        <f t="shared" si="46"/>
        <v>2.5962953458757813E-3</v>
      </c>
      <c r="Z145" s="12">
        <f t="shared" si="56"/>
        <v>0.56001497016299029</v>
      </c>
      <c r="AA145" t="str">
        <f t="shared" si="47"/>
        <v>A</v>
      </c>
      <c r="AB145" t="str">
        <f t="shared" si="48"/>
        <v>Y</v>
      </c>
      <c r="AC145" t="str">
        <f t="shared" si="49"/>
        <v>AY</v>
      </c>
      <c r="AD145" t="str">
        <f t="shared" si="50"/>
        <v>Frequent Monitoring</v>
      </c>
      <c r="AE145" t="str">
        <f t="shared" si="51"/>
        <v>Every 2 Days</v>
      </c>
      <c r="AF145" t="str">
        <f t="shared" si="52"/>
        <v>Frequent Monitoring</v>
      </c>
      <c r="AG145" t="str">
        <f t="shared" si="53"/>
        <v>High</v>
      </c>
      <c r="AH145">
        <f t="shared" si="54"/>
        <v>50</v>
      </c>
      <c r="AI145" t="str">
        <f t="shared" si="55"/>
        <v>Medium</v>
      </c>
    </row>
    <row r="146" spans="1:35">
      <c r="A146" t="s">
        <v>515</v>
      </c>
      <c r="B146" t="s">
        <v>18</v>
      </c>
      <c r="C146" t="s">
        <v>22</v>
      </c>
      <c r="D146" t="s">
        <v>19</v>
      </c>
      <c r="E146">
        <v>564</v>
      </c>
      <c r="F146">
        <v>473</v>
      </c>
      <c r="G146">
        <v>80</v>
      </c>
      <c r="H146">
        <v>7</v>
      </c>
      <c r="I146">
        <v>203.58</v>
      </c>
      <c r="J146">
        <v>0.25</v>
      </c>
      <c r="K146">
        <v>786</v>
      </c>
      <c r="L146">
        <v>0.72</v>
      </c>
      <c r="M146">
        <v>5</v>
      </c>
      <c r="N146" s="1">
        <f t="shared" si="38"/>
        <v>15.766666666666667</v>
      </c>
      <c r="O146" s="1">
        <f>N146*(1+Control_Panel!$B$2)</f>
        <v>15.766666666666667</v>
      </c>
      <c r="P146" s="12">
        <f t="shared" si="39"/>
        <v>0.16913319238900634</v>
      </c>
      <c r="Q146" t="str" cm="1">
        <f t="array" ref="Q146">_xlfn.IFS(P146&lt;0.2,"Stable",P146&lt;=0.5,"Moderate",P146&gt;0.5,"Highly veriable")</f>
        <v>Stable</v>
      </c>
      <c r="R146" s="1">
        <f t="shared" si="40"/>
        <v>211.66010488516724</v>
      </c>
      <c r="S146" s="1">
        <f t="shared" si="41"/>
        <v>234.42677155183389</v>
      </c>
      <c r="T146" s="1">
        <f t="shared" si="42"/>
        <v>329.57322844816611</v>
      </c>
      <c r="U146" t="str">
        <f t="shared" si="43"/>
        <v xml:space="preserve"> Safe</v>
      </c>
      <c r="V146">
        <f t="shared" si="44"/>
        <v>5676</v>
      </c>
      <c r="W146" s="9">
        <f t="shared" si="45"/>
        <v>1155520.08</v>
      </c>
      <c r="Y146">
        <f t="shared" si="46"/>
        <v>2.5906783237594597E-3</v>
      </c>
      <c r="Z146" s="12">
        <f t="shared" si="56"/>
        <v>0.56260564848674977</v>
      </c>
      <c r="AA146" t="str">
        <f t="shared" si="47"/>
        <v>A</v>
      </c>
      <c r="AB146" t="str">
        <f t="shared" si="48"/>
        <v>X</v>
      </c>
      <c r="AC146" t="str">
        <f t="shared" si="49"/>
        <v>AX</v>
      </c>
      <c r="AD146" t="str">
        <f t="shared" si="50"/>
        <v>Strict Control</v>
      </c>
      <c r="AE146" t="str">
        <f t="shared" si="51"/>
        <v>Daily</v>
      </c>
      <c r="AF146" t="str">
        <f t="shared" si="52"/>
        <v>Strict Replenishment</v>
      </c>
      <c r="AG146" t="str">
        <f t="shared" si="53"/>
        <v>Low</v>
      </c>
      <c r="AH146">
        <f t="shared" si="54"/>
        <v>50</v>
      </c>
      <c r="AI146" t="str">
        <f t="shared" si="55"/>
        <v>Medium</v>
      </c>
    </row>
    <row r="147" spans="1:35">
      <c r="A147" t="s">
        <v>87</v>
      </c>
      <c r="B147" t="s">
        <v>29</v>
      </c>
      <c r="C147" t="s">
        <v>22</v>
      </c>
      <c r="D147" t="s">
        <v>25</v>
      </c>
      <c r="E147">
        <v>910</v>
      </c>
      <c r="F147">
        <v>264</v>
      </c>
      <c r="G147">
        <v>73</v>
      </c>
      <c r="H147">
        <v>6</v>
      </c>
      <c r="I147">
        <v>364.07</v>
      </c>
      <c r="J147">
        <v>0.19</v>
      </c>
      <c r="K147">
        <v>667</v>
      </c>
      <c r="L147">
        <v>0.88</v>
      </c>
      <c r="M147">
        <v>6</v>
      </c>
      <c r="N147" s="1">
        <f t="shared" si="38"/>
        <v>8.8000000000000007</v>
      </c>
      <c r="O147" s="1">
        <f>N147*(1+Control_Panel!$B$2)</f>
        <v>8.8000000000000007</v>
      </c>
      <c r="P147" s="12">
        <f t="shared" si="39"/>
        <v>0.27651515151515149</v>
      </c>
      <c r="Q147" t="str" cm="1">
        <f t="array" ref="Q147">_xlfn.IFS(P147&lt;0.2,"Stable",P147&lt;=0.5,"Moderate",P147&gt;0.5,"Highly veriable")</f>
        <v>Moderate</v>
      </c>
      <c r="R147" s="1">
        <f t="shared" si="40"/>
        <v>178.81275122317197</v>
      </c>
      <c r="S147" s="1">
        <f t="shared" si="41"/>
        <v>193.61275122317198</v>
      </c>
      <c r="T147" s="1">
        <f t="shared" si="42"/>
        <v>716.38724877682807</v>
      </c>
      <c r="U147" t="str">
        <f t="shared" si="43"/>
        <v xml:space="preserve"> Safe</v>
      </c>
      <c r="V147">
        <f t="shared" si="44"/>
        <v>3168</v>
      </c>
      <c r="W147" s="9">
        <f t="shared" si="45"/>
        <v>1153373.76</v>
      </c>
      <c r="Y147">
        <f t="shared" si="46"/>
        <v>2.5858662700391543E-3</v>
      </c>
      <c r="Z147" s="12">
        <f t="shared" si="56"/>
        <v>0.56519151475678897</v>
      </c>
      <c r="AA147" t="str">
        <f t="shared" si="47"/>
        <v>A</v>
      </c>
      <c r="AB147" t="str">
        <f t="shared" si="48"/>
        <v>Y</v>
      </c>
      <c r="AC147" t="str">
        <f t="shared" si="49"/>
        <v>AY</v>
      </c>
      <c r="AD147" t="str">
        <f t="shared" si="50"/>
        <v>Frequent Monitoring</v>
      </c>
      <c r="AE147" t="str">
        <f t="shared" si="51"/>
        <v>Every 2 Days</v>
      </c>
      <c r="AF147" t="str">
        <f t="shared" si="52"/>
        <v>Frequent Monitoring</v>
      </c>
      <c r="AG147" t="str">
        <f t="shared" si="53"/>
        <v>High</v>
      </c>
      <c r="AH147">
        <f t="shared" si="54"/>
        <v>60</v>
      </c>
      <c r="AI147" t="str">
        <f t="shared" si="55"/>
        <v>High</v>
      </c>
    </row>
    <row r="148" spans="1:35">
      <c r="A148" t="s">
        <v>431</v>
      </c>
      <c r="B148" t="s">
        <v>38</v>
      </c>
      <c r="C148" t="s">
        <v>22</v>
      </c>
      <c r="D148" t="s">
        <v>19</v>
      </c>
      <c r="E148">
        <v>500</v>
      </c>
      <c r="F148">
        <v>391</v>
      </c>
      <c r="G148">
        <v>82</v>
      </c>
      <c r="H148">
        <v>23</v>
      </c>
      <c r="I148">
        <v>245.76</v>
      </c>
      <c r="J148">
        <v>0.25</v>
      </c>
      <c r="K148">
        <v>314</v>
      </c>
      <c r="L148">
        <v>0.73</v>
      </c>
      <c r="M148">
        <v>10</v>
      </c>
      <c r="N148" s="1">
        <f t="shared" si="38"/>
        <v>13.033333333333333</v>
      </c>
      <c r="O148" s="1">
        <f>N148*(1+Control_Panel!$B$2)</f>
        <v>13.033333333333333</v>
      </c>
      <c r="P148" s="12">
        <f t="shared" si="39"/>
        <v>0.20971867007672634</v>
      </c>
      <c r="Q148" t="str" cm="1">
        <f t="array" ref="Q148">_xlfn.IFS(P148&lt;0.2,"Stable",P148&lt;=0.5,"Moderate",P148&gt;0.5,"Highly veriable")</f>
        <v>Moderate</v>
      </c>
      <c r="R148" s="1">
        <f t="shared" si="40"/>
        <v>393.25818491164296</v>
      </c>
      <c r="S148" s="1">
        <f t="shared" si="41"/>
        <v>429.29151824497626</v>
      </c>
      <c r="T148" s="1">
        <f t="shared" si="42"/>
        <v>70.70848175502374</v>
      </c>
      <c r="U148" t="str">
        <f t="shared" si="43"/>
        <v xml:space="preserve"> Risk</v>
      </c>
      <c r="V148">
        <f t="shared" si="44"/>
        <v>4692</v>
      </c>
      <c r="W148" s="9">
        <f t="shared" si="45"/>
        <v>1153105.9199999999</v>
      </c>
      <c r="Y148">
        <f t="shared" si="46"/>
        <v>2.5852657722250133E-3</v>
      </c>
      <c r="Z148" s="12">
        <f t="shared" si="56"/>
        <v>0.56777678052901404</v>
      </c>
      <c r="AA148" t="str">
        <f t="shared" si="47"/>
        <v>A</v>
      </c>
      <c r="AB148" t="str">
        <f t="shared" si="48"/>
        <v>Y</v>
      </c>
      <c r="AC148" t="str">
        <f t="shared" si="49"/>
        <v>AY</v>
      </c>
      <c r="AD148" t="str">
        <f t="shared" si="50"/>
        <v>Frequent Monitoring</v>
      </c>
      <c r="AE148" t="str">
        <f t="shared" si="51"/>
        <v>Every 2 Days</v>
      </c>
      <c r="AF148" t="str">
        <f t="shared" si="52"/>
        <v>Frequent Monitoring</v>
      </c>
      <c r="AG148" t="str">
        <f t="shared" si="53"/>
        <v>High</v>
      </c>
      <c r="AH148">
        <f t="shared" si="54"/>
        <v>70</v>
      </c>
      <c r="AI148" t="str">
        <f t="shared" si="55"/>
        <v>Critical</v>
      </c>
    </row>
    <row r="149" spans="1:35">
      <c r="A149" t="s">
        <v>30</v>
      </c>
      <c r="B149" t="s">
        <v>14</v>
      </c>
      <c r="C149" t="s">
        <v>15</v>
      </c>
      <c r="D149" t="s">
        <v>25</v>
      </c>
      <c r="E149">
        <v>179</v>
      </c>
      <c r="F149">
        <v>206</v>
      </c>
      <c r="G149">
        <v>81</v>
      </c>
      <c r="H149">
        <v>11</v>
      </c>
      <c r="I149">
        <v>464.53</v>
      </c>
      <c r="J149">
        <v>0.23</v>
      </c>
      <c r="K149">
        <v>161</v>
      </c>
      <c r="L149">
        <v>0.89</v>
      </c>
      <c r="M149">
        <v>6</v>
      </c>
      <c r="N149" s="1">
        <f t="shared" si="38"/>
        <v>6.8666666666666663</v>
      </c>
      <c r="O149" s="1">
        <f>N149*(1+Control_Panel!$B$2)</f>
        <v>6.8666666666666663</v>
      </c>
      <c r="P149" s="12">
        <f t="shared" si="39"/>
        <v>0.39320388349514562</v>
      </c>
      <c r="Q149" t="str" cm="1">
        <f t="array" ref="Q149">_xlfn.IFS(P149&lt;0.2,"Stable",P149&lt;=0.5,"Moderate",P149&gt;0.5,"Highly veriable")</f>
        <v>Moderate</v>
      </c>
      <c r="R149" s="1">
        <f t="shared" si="40"/>
        <v>268.64660801878739</v>
      </c>
      <c r="S149" s="1">
        <f t="shared" si="41"/>
        <v>286.51327468545406</v>
      </c>
      <c r="T149" s="1">
        <f t="shared" si="42"/>
        <v>-107.51327468545406</v>
      </c>
      <c r="U149" t="str">
        <f t="shared" si="43"/>
        <v xml:space="preserve"> Need to Order</v>
      </c>
      <c r="V149">
        <f t="shared" si="44"/>
        <v>2472</v>
      </c>
      <c r="W149" s="9">
        <f t="shared" si="45"/>
        <v>1148318.1599999999</v>
      </c>
      <c r="Y149">
        <f t="shared" si="46"/>
        <v>2.5745316047570085E-3</v>
      </c>
      <c r="Z149" s="12">
        <f t="shared" si="56"/>
        <v>0.57035131213377099</v>
      </c>
      <c r="AA149" t="str">
        <f t="shared" si="47"/>
        <v>A</v>
      </c>
      <c r="AB149" t="str">
        <f t="shared" si="48"/>
        <v>Y</v>
      </c>
      <c r="AC149" t="str">
        <f t="shared" si="49"/>
        <v>AY</v>
      </c>
      <c r="AD149" t="str">
        <f t="shared" si="50"/>
        <v>Frequent Monitoring</v>
      </c>
      <c r="AE149" t="str">
        <f t="shared" si="51"/>
        <v>Every 2 Days</v>
      </c>
      <c r="AF149" t="str">
        <f t="shared" si="52"/>
        <v>Frequent Monitoring</v>
      </c>
      <c r="AG149" t="str">
        <f t="shared" si="53"/>
        <v>High</v>
      </c>
      <c r="AH149">
        <f t="shared" si="54"/>
        <v>60</v>
      </c>
      <c r="AI149" t="str">
        <f t="shared" si="55"/>
        <v>High</v>
      </c>
    </row>
    <row r="150" spans="1:35">
      <c r="A150" t="s">
        <v>485</v>
      </c>
      <c r="B150" t="s">
        <v>34</v>
      </c>
      <c r="C150" t="s">
        <v>15</v>
      </c>
      <c r="D150" t="s">
        <v>23</v>
      </c>
      <c r="E150">
        <v>926</v>
      </c>
      <c r="F150">
        <v>228</v>
      </c>
      <c r="G150">
        <v>14</v>
      </c>
      <c r="H150">
        <v>9</v>
      </c>
      <c r="I150">
        <v>419.44</v>
      </c>
      <c r="J150">
        <v>0.17</v>
      </c>
      <c r="K150">
        <v>190</v>
      </c>
      <c r="L150">
        <v>0.99</v>
      </c>
      <c r="M150">
        <v>10</v>
      </c>
      <c r="N150" s="1">
        <f t="shared" si="38"/>
        <v>7.6</v>
      </c>
      <c r="O150" s="1">
        <f>N150*(1+Control_Panel!$B$2)</f>
        <v>7.6</v>
      </c>
      <c r="P150" s="12">
        <f t="shared" si="39"/>
        <v>6.1403508771929821E-2</v>
      </c>
      <c r="Q150" t="str" cm="1">
        <f t="array" ref="Q150">_xlfn.IFS(P150&lt;0.2,"Stable",P150&lt;=0.5,"Moderate",P150&gt;0.5,"Highly veriable")</f>
        <v>Stable</v>
      </c>
      <c r="R150" s="1">
        <f t="shared" si="40"/>
        <v>42</v>
      </c>
      <c r="S150" s="1">
        <f t="shared" si="41"/>
        <v>58.6</v>
      </c>
      <c r="T150" s="1">
        <f t="shared" si="42"/>
        <v>867.4</v>
      </c>
      <c r="U150" t="str">
        <f t="shared" si="43"/>
        <v xml:space="preserve"> Safe</v>
      </c>
      <c r="V150">
        <f t="shared" si="44"/>
        <v>2736</v>
      </c>
      <c r="W150" s="9">
        <f t="shared" si="45"/>
        <v>1147587.8400000001</v>
      </c>
      <c r="Y150">
        <f t="shared" si="46"/>
        <v>2.572894225860566E-3</v>
      </c>
      <c r="Z150" s="12">
        <f t="shared" si="56"/>
        <v>0.57292420635963159</v>
      </c>
      <c r="AA150" t="str">
        <f t="shared" si="47"/>
        <v>A</v>
      </c>
      <c r="AB150" t="str">
        <f t="shared" si="48"/>
        <v>X</v>
      </c>
      <c r="AC150" t="str">
        <f t="shared" si="49"/>
        <v>AX</v>
      </c>
      <c r="AD150" t="str">
        <f t="shared" si="50"/>
        <v>Strict Control</v>
      </c>
      <c r="AE150" t="str">
        <f t="shared" si="51"/>
        <v>Daily</v>
      </c>
      <c r="AF150" t="str">
        <f t="shared" si="52"/>
        <v>Strict Replenishment</v>
      </c>
      <c r="AG150" t="str">
        <f t="shared" si="53"/>
        <v>Low</v>
      </c>
      <c r="AH150">
        <f t="shared" si="54"/>
        <v>60</v>
      </c>
      <c r="AI150" t="str">
        <f t="shared" si="55"/>
        <v>High</v>
      </c>
    </row>
    <row r="151" spans="1:35">
      <c r="A151" t="s">
        <v>453</v>
      </c>
      <c r="B151" t="s">
        <v>29</v>
      </c>
      <c r="C151" t="s">
        <v>22</v>
      </c>
      <c r="D151" t="s">
        <v>25</v>
      </c>
      <c r="E151">
        <v>128</v>
      </c>
      <c r="F151">
        <v>231</v>
      </c>
      <c r="G151">
        <v>49</v>
      </c>
      <c r="H151">
        <v>9</v>
      </c>
      <c r="I151">
        <v>412.85</v>
      </c>
      <c r="J151">
        <v>0.23</v>
      </c>
      <c r="K151">
        <v>878</v>
      </c>
      <c r="L151">
        <v>0.84</v>
      </c>
      <c r="M151">
        <v>5</v>
      </c>
      <c r="N151" s="1">
        <f t="shared" si="38"/>
        <v>7.7</v>
      </c>
      <c r="O151" s="1">
        <f>N151*(1+Control_Panel!$B$2)</f>
        <v>7.7</v>
      </c>
      <c r="P151" s="12">
        <f t="shared" si="39"/>
        <v>0.21212121212121213</v>
      </c>
      <c r="Q151" t="str" cm="1">
        <f t="array" ref="Q151">_xlfn.IFS(P151&lt;0.2,"Stable",P151&lt;=0.5,"Moderate",P151&gt;0.5,"Highly veriable")</f>
        <v>Moderate</v>
      </c>
      <c r="R151" s="1">
        <f t="shared" si="40"/>
        <v>147</v>
      </c>
      <c r="S151" s="1">
        <f t="shared" si="41"/>
        <v>163.69999999999999</v>
      </c>
      <c r="T151" s="1">
        <f t="shared" si="42"/>
        <v>-35.699999999999989</v>
      </c>
      <c r="U151" t="str">
        <f t="shared" si="43"/>
        <v xml:space="preserve"> Need to Order</v>
      </c>
      <c r="V151">
        <f t="shared" si="44"/>
        <v>2772</v>
      </c>
      <c r="W151" s="9">
        <f t="shared" si="45"/>
        <v>1144420.2</v>
      </c>
      <c r="Y151">
        <f t="shared" si="46"/>
        <v>2.5657923706634898E-3</v>
      </c>
      <c r="Z151" s="12">
        <f t="shared" si="56"/>
        <v>0.57548999873029505</v>
      </c>
      <c r="AA151" t="str">
        <f t="shared" si="47"/>
        <v>A</v>
      </c>
      <c r="AB151" t="str">
        <f t="shared" si="48"/>
        <v>Y</v>
      </c>
      <c r="AC151" t="str">
        <f t="shared" si="49"/>
        <v>AY</v>
      </c>
      <c r="AD151" t="str">
        <f t="shared" si="50"/>
        <v>Frequent Monitoring</v>
      </c>
      <c r="AE151" t="str">
        <f t="shared" si="51"/>
        <v>Every 2 Days</v>
      </c>
      <c r="AF151" t="str">
        <f t="shared" si="52"/>
        <v>Frequent Monitoring</v>
      </c>
      <c r="AG151" t="str">
        <f t="shared" si="53"/>
        <v>High</v>
      </c>
      <c r="AH151">
        <f t="shared" si="54"/>
        <v>60</v>
      </c>
      <c r="AI151" t="str">
        <f t="shared" si="55"/>
        <v>High</v>
      </c>
    </row>
    <row r="152" spans="1:35">
      <c r="A152" t="s">
        <v>107</v>
      </c>
      <c r="B152" t="s">
        <v>34</v>
      </c>
      <c r="C152" t="s">
        <v>15</v>
      </c>
      <c r="D152" t="s">
        <v>41</v>
      </c>
      <c r="E152">
        <v>61</v>
      </c>
      <c r="F152">
        <v>240</v>
      </c>
      <c r="G152">
        <v>24</v>
      </c>
      <c r="H152">
        <v>18</v>
      </c>
      <c r="I152">
        <v>397.29</v>
      </c>
      <c r="J152">
        <v>0.11</v>
      </c>
      <c r="K152">
        <v>660</v>
      </c>
      <c r="L152">
        <v>0.85</v>
      </c>
      <c r="M152">
        <v>5</v>
      </c>
      <c r="N152" s="1">
        <f t="shared" si="38"/>
        <v>8</v>
      </c>
      <c r="O152" s="1">
        <f>N152*(1+Control_Panel!$B$2)</f>
        <v>8</v>
      </c>
      <c r="P152" s="12">
        <f t="shared" si="39"/>
        <v>0.1</v>
      </c>
      <c r="Q152" t="str" cm="1">
        <f t="array" ref="Q152">_xlfn.IFS(P152&lt;0.2,"Stable",P152&lt;=0.5,"Moderate",P152&gt;0.5,"Highly veriable")</f>
        <v>Stable</v>
      </c>
      <c r="R152" s="1">
        <f t="shared" si="40"/>
        <v>101.82337649086284</v>
      </c>
      <c r="S152" s="1">
        <f t="shared" si="41"/>
        <v>127.82337649086284</v>
      </c>
      <c r="T152" s="1">
        <f t="shared" si="42"/>
        <v>-66.823376490862842</v>
      </c>
      <c r="U152" t="str">
        <f t="shared" si="43"/>
        <v xml:space="preserve"> Need to Order</v>
      </c>
      <c r="V152">
        <f t="shared" si="44"/>
        <v>2880</v>
      </c>
      <c r="W152" s="9">
        <f t="shared" si="45"/>
        <v>1144195.2</v>
      </c>
      <c r="Y152">
        <f t="shared" si="46"/>
        <v>2.5652879202147827E-3</v>
      </c>
      <c r="Z152" s="12">
        <f t="shared" si="56"/>
        <v>0.57805528665050987</v>
      </c>
      <c r="AA152" t="str">
        <f t="shared" si="47"/>
        <v>A</v>
      </c>
      <c r="AB152" t="str">
        <f t="shared" si="48"/>
        <v>X</v>
      </c>
      <c r="AC152" t="str">
        <f t="shared" si="49"/>
        <v>AX</v>
      </c>
      <c r="AD152" t="str">
        <f t="shared" si="50"/>
        <v>Strict Control</v>
      </c>
      <c r="AE152" t="str">
        <f t="shared" si="51"/>
        <v>Daily</v>
      </c>
      <c r="AF152" t="str">
        <f t="shared" si="52"/>
        <v>Strict Replenishment</v>
      </c>
      <c r="AG152" t="str">
        <f t="shared" si="53"/>
        <v>Low</v>
      </c>
      <c r="AH152">
        <f t="shared" si="54"/>
        <v>50</v>
      </c>
      <c r="AI152" t="str">
        <f t="shared" si="55"/>
        <v>Medium</v>
      </c>
    </row>
    <row r="153" spans="1:35">
      <c r="A153" t="s">
        <v>412</v>
      </c>
      <c r="B153" t="s">
        <v>18</v>
      </c>
      <c r="C153" t="s">
        <v>15</v>
      </c>
      <c r="D153" t="s">
        <v>25</v>
      </c>
      <c r="E153">
        <v>560</v>
      </c>
      <c r="F153">
        <v>430</v>
      </c>
      <c r="G153">
        <v>53</v>
      </c>
      <c r="H153">
        <v>22</v>
      </c>
      <c r="I153">
        <v>221.56</v>
      </c>
      <c r="J153">
        <v>0.19</v>
      </c>
      <c r="K153">
        <v>651</v>
      </c>
      <c r="L153">
        <v>0.86</v>
      </c>
      <c r="M153">
        <v>5</v>
      </c>
      <c r="N153" s="1">
        <f t="shared" si="38"/>
        <v>14.333333333333334</v>
      </c>
      <c r="O153" s="1">
        <f>N153*(1+Control_Panel!$B$2)</f>
        <v>14.333333333333334</v>
      </c>
      <c r="P153" s="12">
        <f t="shared" si="39"/>
        <v>0.12325581395348838</v>
      </c>
      <c r="Q153" t="str" cm="1">
        <f t="array" ref="Q153">_xlfn.IFS(P153&lt;0.2,"Stable",P153&lt;=0.5,"Moderate",P153&gt;0.5,"Highly veriable")</f>
        <v>Stable</v>
      </c>
      <c r="R153" s="1">
        <f t="shared" si="40"/>
        <v>248.59203527064179</v>
      </c>
      <c r="S153" s="1">
        <f t="shared" si="41"/>
        <v>284.92536860397513</v>
      </c>
      <c r="T153" s="1">
        <f t="shared" si="42"/>
        <v>275.07463139602487</v>
      </c>
      <c r="U153" t="str">
        <f t="shared" si="43"/>
        <v xml:space="preserve"> Safe</v>
      </c>
      <c r="V153">
        <f t="shared" si="44"/>
        <v>5160</v>
      </c>
      <c r="W153" s="9">
        <f t="shared" si="45"/>
        <v>1143249.6000000001</v>
      </c>
      <c r="Y153">
        <f t="shared" si="46"/>
        <v>2.5631678831290173E-3</v>
      </c>
      <c r="Z153" s="12">
        <f t="shared" si="56"/>
        <v>0.58061845453363892</v>
      </c>
      <c r="AA153" t="str">
        <f t="shared" si="47"/>
        <v>A</v>
      </c>
      <c r="AB153" t="str">
        <f t="shared" si="48"/>
        <v>X</v>
      </c>
      <c r="AC153" t="str">
        <f t="shared" si="49"/>
        <v>AX</v>
      </c>
      <c r="AD153" t="str">
        <f t="shared" si="50"/>
        <v>Strict Control</v>
      </c>
      <c r="AE153" t="str">
        <f t="shared" si="51"/>
        <v>Daily</v>
      </c>
      <c r="AF153" t="str">
        <f t="shared" si="52"/>
        <v>Strict Replenishment</v>
      </c>
      <c r="AG153" t="str">
        <f t="shared" si="53"/>
        <v>Low</v>
      </c>
      <c r="AH153">
        <f t="shared" si="54"/>
        <v>50</v>
      </c>
      <c r="AI153" t="str">
        <f t="shared" si="55"/>
        <v>Medium</v>
      </c>
    </row>
    <row r="154" spans="1:35">
      <c r="A154" t="s">
        <v>315</v>
      </c>
      <c r="B154" t="s">
        <v>36</v>
      </c>
      <c r="C154" t="s">
        <v>22</v>
      </c>
      <c r="D154" t="s">
        <v>19</v>
      </c>
      <c r="E154">
        <v>911</v>
      </c>
      <c r="F154">
        <v>441</v>
      </c>
      <c r="G154">
        <v>35</v>
      </c>
      <c r="H154">
        <v>29</v>
      </c>
      <c r="I154">
        <v>215.57</v>
      </c>
      <c r="J154">
        <v>0.15</v>
      </c>
      <c r="K154">
        <v>717</v>
      </c>
      <c r="L154">
        <v>0.85</v>
      </c>
      <c r="M154">
        <v>1</v>
      </c>
      <c r="N154" s="1">
        <f t="shared" si="38"/>
        <v>14.7</v>
      </c>
      <c r="O154" s="1">
        <f>N154*(1+Control_Panel!$B$2)</f>
        <v>14.7</v>
      </c>
      <c r="P154" s="12">
        <f t="shared" si="39"/>
        <v>7.9365079365079361E-2</v>
      </c>
      <c r="Q154" t="str" cm="1">
        <f t="array" ref="Q154">_xlfn.IFS(P154&lt;0.2,"Stable",P154&lt;=0.5,"Moderate",P154&gt;0.5,"Highly veriable")</f>
        <v>Stable</v>
      </c>
      <c r="R154" s="1">
        <f t="shared" si="40"/>
        <v>188.48076824970764</v>
      </c>
      <c r="S154" s="1">
        <f t="shared" si="41"/>
        <v>232.18076824970763</v>
      </c>
      <c r="T154" s="1">
        <f t="shared" si="42"/>
        <v>678.81923175029237</v>
      </c>
      <c r="U154" t="str">
        <f t="shared" si="43"/>
        <v xml:space="preserve"> Safe</v>
      </c>
      <c r="V154">
        <f t="shared" si="44"/>
        <v>5292</v>
      </c>
      <c r="W154" s="9">
        <f t="shared" si="45"/>
        <v>1140796.44</v>
      </c>
      <c r="Y154">
        <f t="shared" si="46"/>
        <v>2.5576678935167953E-3</v>
      </c>
      <c r="Z154" s="12">
        <f t="shared" si="56"/>
        <v>0.58317612242715566</v>
      </c>
      <c r="AA154" t="str">
        <f t="shared" si="47"/>
        <v>A</v>
      </c>
      <c r="AB154" t="str">
        <f t="shared" si="48"/>
        <v>X</v>
      </c>
      <c r="AC154" t="str">
        <f t="shared" si="49"/>
        <v>AX</v>
      </c>
      <c r="AD154" t="str">
        <f t="shared" si="50"/>
        <v>Strict Control</v>
      </c>
      <c r="AE154" t="str">
        <f t="shared" si="51"/>
        <v>Daily</v>
      </c>
      <c r="AF154" t="str">
        <f t="shared" si="52"/>
        <v>Strict Replenishment</v>
      </c>
      <c r="AG154" t="str">
        <f t="shared" si="53"/>
        <v>Low</v>
      </c>
      <c r="AH154">
        <f t="shared" si="54"/>
        <v>40</v>
      </c>
      <c r="AI154" t="str">
        <f t="shared" si="55"/>
        <v>Low</v>
      </c>
    </row>
    <row r="155" spans="1:35">
      <c r="A155" t="s">
        <v>176</v>
      </c>
      <c r="B155" t="s">
        <v>18</v>
      </c>
      <c r="C155" t="s">
        <v>15</v>
      </c>
      <c r="D155" t="s">
        <v>19</v>
      </c>
      <c r="E155">
        <v>962</v>
      </c>
      <c r="F155">
        <v>244</v>
      </c>
      <c r="G155">
        <v>88</v>
      </c>
      <c r="H155">
        <v>7</v>
      </c>
      <c r="I155">
        <v>389.34</v>
      </c>
      <c r="J155">
        <v>0.18</v>
      </c>
      <c r="K155">
        <v>542</v>
      </c>
      <c r="L155">
        <v>0.89</v>
      </c>
      <c r="M155">
        <v>4</v>
      </c>
      <c r="N155" s="1">
        <f t="shared" si="38"/>
        <v>8.1333333333333329</v>
      </c>
      <c r="O155" s="1">
        <f>N155*(1+Control_Panel!$B$2)</f>
        <v>8.1333333333333329</v>
      </c>
      <c r="P155" s="12">
        <f t="shared" si="39"/>
        <v>0.36065573770491804</v>
      </c>
      <c r="Q155" t="str" cm="1">
        <f t="array" ref="Q155">_xlfn.IFS(P155&lt;0.2,"Stable",P155&lt;=0.5,"Moderate",P155&gt;0.5,"Highly veriable")</f>
        <v>Moderate</v>
      </c>
      <c r="R155" s="1">
        <f t="shared" si="40"/>
        <v>232.82611537368399</v>
      </c>
      <c r="S155" s="1">
        <f t="shared" si="41"/>
        <v>247.95944870701732</v>
      </c>
      <c r="T155" s="1">
        <f t="shared" si="42"/>
        <v>714.04055129298263</v>
      </c>
      <c r="U155" t="str">
        <f t="shared" si="43"/>
        <v xml:space="preserve"> Safe</v>
      </c>
      <c r="V155">
        <f t="shared" si="44"/>
        <v>2928</v>
      </c>
      <c r="W155" s="9">
        <f t="shared" si="45"/>
        <v>1139987.52</v>
      </c>
      <c r="Y155">
        <f t="shared" si="46"/>
        <v>2.5558542932636041E-3</v>
      </c>
      <c r="Z155" s="12">
        <f t="shared" si="56"/>
        <v>0.58573197672041921</v>
      </c>
      <c r="AA155" t="str">
        <f t="shared" si="47"/>
        <v>A</v>
      </c>
      <c r="AB155" t="str">
        <f t="shared" si="48"/>
        <v>Y</v>
      </c>
      <c r="AC155" t="str">
        <f t="shared" si="49"/>
        <v>AY</v>
      </c>
      <c r="AD155" t="str">
        <f t="shared" si="50"/>
        <v>Frequent Monitoring</v>
      </c>
      <c r="AE155" t="str">
        <f t="shared" si="51"/>
        <v>Every 2 Days</v>
      </c>
      <c r="AF155" t="str">
        <f t="shared" si="52"/>
        <v>Frequent Monitoring</v>
      </c>
      <c r="AG155" t="str">
        <f t="shared" si="53"/>
        <v>High</v>
      </c>
      <c r="AH155">
        <f t="shared" si="54"/>
        <v>50</v>
      </c>
      <c r="AI155" t="str">
        <f t="shared" si="55"/>
        <v>Medium</v>
      </c>
    </row>
    <row r="156" spans="1:35">
      <c r="A156" t="s">
        <v>37</v>
      </c>
      <c r="B156" t="s">
        <v>38</v>
      </c>
      <c r="C156" t="s">
        <v>15</v>
      </c>
      <c r="D156" t="s">
        <v>23</v>
      </c>
      <c r="E156">
        <v>508</v>
      </c>
      <c r="F156">
        <v>373</v>
      </c>
      <c r="G156">
        <v>42</v>
      </c>
      <c r="H156">
        <v>27</v>
      </c>
      <c r="I156">
        <v>254.47</v>
      </c>
      <c r="J156">
        <v>0.17</v>
      </c>
      <c r="K156">
        <v>411</v>
      </c>
      <c r="L156">
        <v>0.99</v>
      </c>
      <c r="M156">
        <v>4</v>
      </c>
      <c r="N156" s="1">
        <f t="shared" si="38"/>
        <v>12.433333333333334</v>
      </c>
      <c r="O156" s="1">
        <f>N156*(1+Control_Panel!$B$2)</f>
        <v>12.433333333333334</v>
      </c>
      <c r="P156" s="12">
        <f t="shared" si="39"/>
        <v>0.1126005361930295</v>
      </c>
      <c r="Q156" t="str" cm="1">
        <f t="array" ref="Q156">_xlfn.IFS(P156&lt;0.2,"Stable",P156&lt;=0.5,"Moderate",P156&gt;0.5,"Highly veriable")</f>
        <v>Stable</v>
      </c>
      <c r="R156" s="1">
        <f t="shared" si="40"/>
        <v>218.23840175367854</v>
      </c>
      <c r="S156" s="1">
        <f t="shared" si="41"/>
        <v>257.67173508701188</v>
      </c>
      <c r="T156" s="1">
        <f t="shared" si="42"/>
        <v>250.32826491298812</v>
      </c>
      <c r="U156" t="str">
        <f t="shared" si="43"/>
        <v xml:space="preserve"> Safe</v>
      </c>
      <c r="V156">
        <f t="shared" si="44"/>
        <v>4476</v>
      </c>
      <c r="W156" s="9">
        <f t="shared" si="45"/>
        <v>1139007.72</v>
      </c>
      <c r="Y156">
        <f t="shared" si="46"/>
        <v>2.5536575797096349E-3</v>
      </c>
      <c r="Z156" s="12">
        <f t="shared" si="56"/>
        <v>0.58828563430012881</v>
      </c>
      <c r="AA156" t="str">
        <f t="shared" si="47"/>
        <v>A</v>
      </c>
      <c r="AB156" t="str">
        <f t="shared" si="48"/>
        <v>X</v>
      </c>
      <c r="AC156" t="str">
        <f t="shared" si="49"/>
        <v>AX</v>
      </c>
      <c r="AD156" t="str">
        <f t="shared" si="50"/>
        <v>Strict Control</v>
      </c>
      <c r="AE156" t="str">
        <f t="shared" si="51"/>
        <v>Daily</v>
      </c>
      <c r="AF156" t="str">
        <f t="shared" si="52"/>
        <v>Strict Replenishment</v>
      </c>
      <c r="AG156" t="str">
        <f t="shared" si="53"/>
        <v>Low</v>
      </c>
      <c r="AH156">
        <f t="shared" si="54"/>
        <v>40</v>
      </c>
      <c r="AI156" t="str">
        <f t="shared" si="55"/>
        <v>Low</v>
      </c>
    </row>
    <row r="157" spans="1:35">
      <c r="A157" t="s">
        <v>44</v>
      </c>
      <c r="B157" t="s">
        <v>36</v>
      </c>
      <c r="C157" t="s">
        <v>15</v>
      </c>
      <c r="D157" t="s">
        <v>25</v>
      </c>
      <c r="E157">
        <v>810</v>
      </c>
      <c r="F157">
        <v>234</v>
      </c>
      <c r="G157">
        <v>56</v>
      </c>
      <c r="H157">
        <v>9</v>
      </c>
      <c r="I157">
        <v>405</v>
      </c>
      <c r="J157">
        <v>0.1</v>
      </c>
      <c r="K157">
        <v>453</v>
      </c>
      <c r="L157">
        <v>0.9</v>
      </c>
      <c r="M157">
        <v>9</v>
      </c>
      <c r="N157" s="1">
        <f t="shared" si="38"/>
        <v>7.8</v>
      </c>
      <c r="O157" s="1">
        <f>N157*(1+Control_Panel!$B$2)</f>
        <v>7.8</v>
      </c>
      <c r="P157" s="12">
        <f t="shared" si="39"/>
        <v>0.23931623931623933</v>
      </c>
      <c r="Q157" t="str" cm="1">
        <f t="array" ref="Q157">_xlfn.IFS(P157&lt;0.2,"Stable",P157&lt;=0.5,"Moderate",P157&gt;0.5,"Highly veriable")</f>
        <v>Moderate</v>
      </c>
      <c r="R157" s="1">
        <f t="shared" si="40"/>
        <v>168</v>
      </c>
      <c r="S157" s="1">
        <f t="shared" si="41"/>
        <v>184.8</v>
      </c>
      <c r="T157" s="1">
        <f t="shared" si="42"/>
        <v>625.20000000000005</v>
      </c>
      <c r="U157" t="str">
        <f t="shared" si="43"/>
        <v xml:space="preserve"> Safe</v>
      </c>
      <c r="V157">
        <f t="shared" si="44"/>
        <v>2808</v>
      </c>
      <c r="W157" s="9">
        <f t="shared" si="45"/>
        <v>1137240</v>
      </c>
      <c r="Y157">
        <f t="shared" si="46"/>
        <v>2.5496943479443538E-3</v>
      </c>
      <c r="Z157" s="12">
        <f t="shared" si="56"/>
        <v>0.5908353286480732</v>
      </c>
      <c r="AA157" t="str">
        <f t="shared" si="47"/>
        <v>A</v>
      </c>
      <c r="AB157" t="str">
        <f t="shared" si="48"/>
        <v>Y</v>
      </c>
      <c r="AC157" t="str">
        <f t="shared" si="49"/>
        <v>AY</v>
      </c>
      <c r="AD157" t="str">
        <f t="shared" si="50"/>
        <v>Frequent Monitoring</v>
      </c>
      <c r="AE157" t="str">
        <f t="shared" si="51"/>
        <v>Every 2 Days</v>
      </c>
      <c r="AF157" t="str">
        <f t="shared" si="52"/>
        <v>Frequent Monitoring</v>
      </c>
      <c r="AG157" t="str">
        <f t="shared" si="53"/>
        <v>High</v>
      </c>
      <c r="AH157">
        <f t="shared" si="54"/>
        <v>70</v>
      </c>
      <c r="AI157" t="str">
        <f t="shared" si="55"/>
        <v>Critical</v>
      </c>
    </row>
    <row r="158" spans="1:35">
      <c r="A158" t="s">
        <v>328</v>
      </c>
      <c r="B158" t="s">
        <v>36</v>
      </c>
      <c r="C158" t="s">
        <v>22</v>
      </c>
      <c r="D158" t="s">
        <v>41</v>
      </c>
      <c r="E158">
        <v>308</v>
      </c>
      <c r="F158">
        <v>281</v>
      </c>
      <c r="G158">
        <v>99</v>
      </c>
      <c r="H158">
        <v>5</v>
      </c>
      <c r="I158">
        <v>337.14</v>
      </c>
      <c r="J158">
        <v>0.06</v>
      </c>
      <c r="K158">
        <v>155</v>
      </c>
      <c r="L158">
        <v>0.85</v>
      </c>
      <c r="M158">
        <v>5</v>
      </c>
      <c r="N158" s="1">
        <f t="shared" si="38"/>
        <v>9.3666666666666671</v>
      </c>
      <c r="O158" s="1">
        <f>N158*(1+Control_Panel!$B$2)</f>
        <v>9.3666666666666671</v>
      </c>
      <c r="P158" s="12">
        <f t="shared" si="39"/>
        <v>0.35231316725978645</v>
      </c>
      <c r="Q158" t="str" cm="1">
        <f t="array" ref="Q158">_xlfn.IFS(P158&lt;0.2,"Stable",P158&lt;=0.5,"Moderate",P158&gt;0.5,"Highly veriable")</f>
        <v>Moderate</v>
      </c>
      <c r="R158" s="1">
        <f t="shared" si="40"/>
        <v>221.37072977247919</v>
      </c>
      <c r="S158" s="1">
        <f t="shared" si="41"/>
        <v>235.73739643914587</v>
      </c>
      <c r="T158" s="1">
        <f t="shared" si="42"/>
        <v>72.262603560854132</v>
      </c>
      <c r="U158" t="str">
        <f t="shared" si="43"/>
        <v xml:space="preserve"> Risk</v>
      </c>
      <c r="V158">
        <f t="shared" si="44"/>
        <v>3372</v>
      </c>
      <c r="W158" s="9">
        <f t="shared" si="45"/>
        <v>1136836.0799999998</v>
      </c>
      <c r="Y158">
        <f t="shared" si="46"/>
        <v>2.5487887584988351E-3</v>
      </c>
      <c r="Z158" s="12">
        <f t="shared" si="56"/>
        <v>0.59338411740657204</v>
      </c>
      <c r="AA158" t="str">
        <f t="shared" si="47"/>
        <v>A</v>
      </c>
      <c r="AB158" t="str">
        <f t="shared" si="48"/>
        <v>Y</v>
      </c>
      <c r="AC158" t="str">
        <f t="shared" si="49"/>
        <v>AY</v>
      </c>
      <c r="AD158" t="str">
        <f t="shared" si="50"/>
        <v>Frequent Monitoring</v>
      </c>
      <c r="AE158" t="str">
        <f t="shared" si="51"/>
        <v>Every 2 Days</v>
      </c>
      <c r="AF158" t="str">
        <f t="shared" si="52"/>
        <v>Frequent Monitoring</v>
      </c>
      <c r="AG158" t="str">
        <f t="shared" si="53"/>
        <v>High</v>
      </c>
      <c r="AH158">
        <f t="shared" si="54"/>
        <v>60</v>
      </c>
      <c r="AI158" t="str">
        <f t="shared" si="55"/>
        <v>High</v>
      </c>
    </row>
    <row r="159" spans="1:35">
      <c r="A159" t="s">
        <v>497</v>
      </c>
      <c r="B159" t="s">
        <v>14</v>
      </c>
      <c r="C159" t="s">
        <v>22</v>
      </c>
      <c r="D159" t="s">
        <v>25</v>
      </c>
      <c r="E159">
        <v>546</v>
      </c>
      <c r="F159">
        <v>215</v>
      </c>
      <c r="G159">
        <v>49</v>
      </c>
      <c r="H159">
        <v>1</v>
      </c>
      <c r="I159">
        <v>440.57</v>
      </c>
      <c r="J159">
        <v>0.15</v>
      </c>
      <c r="K159">
        <v>783</v>
      </c>
      <c r="L159">
        <v>0.98</v>
      </c>
      <c r="M159">
        <v>5</v>
      </c>
      <c r="N159" s="1">
        <f t="shared" si="38"/>
        <v>7.166666666666667</v>
      </c>
      <c r="O159" s="1">
        <f>N159*(1+Control_Panel!$B$2)</f>
        <v>7.166666666666667</v>
      </c>
      <c r="P159" s="12">
        <f t="shared" si="39"/>
        <v>0.22790697674418606</v>
      </c>
      <c r="Q159" t="str" cm="1">
        <f t="array" ref="Q159">_xlfn.IFS(P159&lt;0.2,"Stable",P159&lt;=0.5,"Moderate",P159&gt;0.5,"Highly veriable")</f>
        <v>Moderate</v>
      </c>
      <c r="R159" s="1">
        <f t="shared" si="40"/>
        <v>49</v>
      </c>
      <c r="S159" s="1">
        <f t="shared" si="41"/>
        <v>57.166666666666671</v>
      </c>
      <c r="T159" s="1">
        <f t="shared" si="42"/>
        <v>488.83333333333331</v>
      </c>
      <c r="U159" t="str">
        <f t="shared" si="43"/>
        <v xml:space="preserve"> Safe</v>
      </c>
      <c r="V159">
        <f t="shared" si="44"/>
        <v>2580</v>
      </c>
      <c r="W159" s="9">
        <f t="shared" si="45"/>
        <v>1136670.6000000001</v>
      </c>
      <c r="Y159">
        <f t="shared" si="46"/>
        <v>2.5484177520088266E-3</v>
      </c>
      <c r="Z159" s="12">
        <f t="shared" si="56"/>
        <v>0.59593253515858091</v>
      </c>
      <c r="AA159" t="str">
        <f t="shared" si="47"/>
        <v>A</v>
      </c>
      <c r="AB159" t="str">
        <f t="shared" si="48"/>
        <v>Y</v>
      </c>
      <c r="AC159" t="str">
        <f t="shared" si="49"/>
        <v>AY</v>
      </c>
      <c r="AD159" t="str">
        <f t="shared" si="50"/>
        <v>Frequent Monitoring</v>
      </c>
      <c r="AE159" t="str">
        <f t="shared" si="51"/>
        <v>Every 2 Days</v>
      </c>
      <c r="AF159" t="str">
        <f t="shared" si="52"/>
        <v>Frequent Monitoring</v>
      </c>
      <c r="AG159" t="str">
        <f t="shared" si="53"/>
        <v>High</v>
      </c>
      <c r="AH159">
        <f t="shared" si="54"/>
        <v>60</v>
      </c>
      <c r="AI159" t="str">
        <f t="shared" si="55"/>
        <v>High</v>
      </c>
    </row>
    <row r="160" spans="1:35">
      <c r="A160" t="s">
        <v>214</v>
      </c>
      <c r="B160" t="s">
        <v>21</v>
      </c>
      <c r="C160" t="s">
        <v>22</v>
      </c>
      <c r="D160" t="s">
        <v>25</v>
      </c>
      <c r="E160">
        <v>206</v>
      </c>
      <c r="F160">
        <v>270</v>
      </c>
      <c r="G160">
        <v>16</v>
      </c>
      <c r="H160">
        <v>28</v>
      </c>
      <c r="I160">
        <v>350.74</v>
      </c>
      <c r="J160">
        <v>0.18</v>
      </c>
      <c r="K160">
        <v>208</v>
      </c>
      <c r="L160">
        <v>0.98</v>
      </c>
      <c r="M160">
        <v>7</v>
      </c>
      <c r="N160" s="1">
        <f t="shared" si="38"/>
        <v>9</v>
      </c>
      <c r="O160" s="1">
        <f>N160*(1+Control_Panel!$B$2)</f>
        <v>9</v>
      </c>
      <c r="P160" s="12">
        <f t="shared" si="39"/>
        <v>5.9259259259259262E-2</v>
      </c>
      <c r="Q160" t="str" cm="1">
        <f t="array" ref="Q160">_xlfn.IFS(P160&lt;0.2,"Stable",P160&lt;=0.5,"Moderate",P160&gt;0.5,"Highly veriable")</f>
        <v>Stable</v>
      </c>
      <c r="R160" s="1">
        <f t="shared" si="40"/>
        <v>84.664041954066903</v>
      </c>
      <c r="S160" s="1">
        <f t="shared" si="41"/>
        <v>121.6640419540669</v>
      </c>
      <c r="T160" s="1">
        <f t="shared" si="42"/>
        <v>84.335958045933097</v>
      </c>
      <c r="U160" t="str">
        <f t="shared" si="43"/>
        <v xml:space="preserve"> Risk</v>
      </c>
      <c r="V160">
        <f t="shared" si="44"/>
        <v>3240</v>
      </c>
      <c r="W160" s="9">
        <f t="shared" si="45"/>
        <v>1136397.6000000001</v>
      </c>
      <c r="Y160">
        <f t="shared" si="46"/>
        <v>2.5478056854643955E-3</v>
      </c>
      <c r="Z160" s="12">
        <f t="shared" si="56"/>
        <v>0.59848034084404533</v>
      </c>
      <c r="AA160" t="str">
        <f t="shared" si="47"/>
        <v>A</v>
      </c>
      <c r="AB160" t="str">
        <f t="shared" si="48"/>
        <v>X</v>
      </c>
      <c r="AC160" t="str">
        <f t="shared" si="49"/>
        <v>AX</v>
      </c>
      <c r="AD160" t="str">
        <f t="shared" si="50"/>
        <v>Strict Control</v>
      </c>
      <c r="AE160" t="str">
        <f t="shared" si="51"/>
        <v>Daily</v>
      </c>
      <c r="AF160" t="str">
        <f t="shared" si="52"/>
        <v>Strict Replenishment</v>
      </c>
      <c r="AG160" t="str">
        <f t="shared" si="53"/>
        <v>Low</v>
      </c>
      <c r="AH160">
        <f t="shared" si="54"/>
        <v>50</v>
      </c>
      <c r="AI160" t="str">
        <f t="shared" si="55"/>
        <v>Medium</v>
      </c>
    </row>
    <row r="161" spans="1:35">
      <c r="A161" t="s">
        <v>171</v>
      </c>
      <c r="B161" t="s">
        <v>36</v>
      </c>
      <c r="C161" t="s">
        <v>22</v>
      </c>
      <c r="D161" t="s">
        <v>19</v>
      </c>
      <c r="E161">
        <v>983</v>
      </c>
      <c r="F161">
        <v>486</v>
      </c>
      <c r="G161">
        <v>50</v>
      </c>
      <c r="H161">
        <v>17</v>
      </c>
      <c r="I161">
        <v>194.27</v>
      </c>
      <c r="J161">
        <v>0.1</v>
      </c>
      <c r="K161">
        <v>526</v>
      </c>
      <c r="L161">
        <v>0.9</v>
      </c>
      <c r="M161">
        <v>5</v>
      </c>
      <c r="N161" s="1">
        <f t="shared" si="38"/>
        <v>16.2</v>
      </c>
      <c r="O161" s="1">
        <f>N161*(1+Control_Panel!$B$2)</f>
        <v>16.2</v>
      </c>
      <c r="P161" s="12">
        <f t="shared" si="39"/>
        <v>0.102880658436214</v>
      </c>
      <c r="Q161" t="str" cm="1">
        <f t="array" ref="Q161">_xlfn.IFS(P161&lt;0.2,"Stable",P161&lt;=0.5,"Moderate",P161&gt;0.5,"Highly veriable")</f>
        <v>Stable</v>
      </c>
      <c r="R161" s="1">
        <f t="shared" si="40"/>
        <v>206.15528128088303</v>
      </c>
      <c r="S161" s="1">
        <f t="shared" si="41"/>
        <v>239.35528128088305</v>
      </c>
      <c r="T161" s="1">
        <f t="shared" si="42"/>
        <v>743.64471871911701</v>
      </c>
      <c r="U161" t="str">
        <f t="shared" si="43"/>
        <v xml:space="preserve"> Safe</v>
      </c>
      <c r="V161">
        <f t="shared" si="44"/>
        <v>5832</v>
      </c>
      <c r="W161" s="9">
        <f t="shared" si="45"/>
        <v>1132982.6400000001</v>
      </c>
      <c r="Y161">
        <f t="shared" si="46"/>
        <v>2.540149338334101E-3</v>
      </c>
      <c r="Z161" s="12">
        <f t="shared" si="56"/>
        <v>0.60102049018237946</v>
      </c>
      <c r="AA161" t="str">
        <f t="shared" si="47"/>
        <v>A</v>
      </c>
      <c r="AB161" t="str">
        <f t="shared" si="48"/>
        <v>X</v>
      </c>
      <c r="AC161" t="str">
        <f t="shared" si="49"/>
        <v>AX</v>
      </c>
      <c r="AD161" t="str">
        <f t="shared" si="50"/>
        <v>Strict Control</v>
      </c>
      <c r="AE161" t="str">
        <f t="shared" si="51"/>
        <v>Daily</v>
      </c>
      <c r="AF161" t="str">
        <f t="shared" si="52"/>
        <v>Strict Replenishment</v>
      </c>
      <c r="AG161" t="str">
        <f t="shared" si="53"/>
        <v>Low</v>
      </c>
      <c r="AH161">
        <f t="shared" si="54"/>
        <v>50</v>
      </c>
      <c r="AI161" t="str">
        <f t="shared" si="55"/>
        <v>Medium</v>
      </c>
    </row>
    <row r="162" spans="1:35">
      <c r="A162" t="s">
        <v>198</v>
      </c>
      <c r="B162" t="s">
        <v>34</v>
      </c>
      <c r="C162" t="s">
        <v>15</v>
      </c>
      <c r="D162" t="s">
        <v>25</v>
      </c>
      <c r="E162">
        <v>237</v>
      </c>
      <c r="F162">
        <v>326</v>
      </c>
      <c r="G162">
        <v>75</v>
      </c>
      <c r="H162">
        <v>30</v>
      </c>
      <c r="I162">
        <v>289.01</v>
      </c>
      <c r="J162">
        <v>0.1</v>
      </c>
      <c r="K162">
        <v>169</v>
      </c>
      <c r="L162">
        <v>0.95</v>
      </c>
      <c r="M162">
        <v>3</v>
      </c>
      <c r="N162" s="1">
        <f t="shared" si="38"/>
        <v>10.866666666666667</v>
      </c>
      <c r="O162" s="1">
        <f>N162*(1+Control_Panel!$B$2)</f>
        <v>10.866666666666667</v>
      </c>
      <c r="P162" s="12">
        <f t="shared" si="39"/>
        <v>0.23006134969325154</v>
      </c>
      <c r="Q162" t="str" cm="1">
        <f t="array" ref="Q162">_xlfn.IFS(P162&lt;0.2,"Stable",P162&lt;=0.5,"Moderate",P162&gt;0.5,"Highly veriable")</f>
        <v>Moderate</v>
      </c>
      <c r="R162" s="1">
        <f t="shared" si="40"/>
        <v>410.79191812887461</v>
      </c>
      <c r="S162" s="1">
        <f t="shared" si="41"/>
        <v>451.65858479554129</v>
      </c>
      <c r="T162" s="1">
        <f t="shared" si="42"/>
        <v>-214.65858479554129</v>
      </c>
      <c r="U162" t="str">
        <f t="shared" si="43"/>
        <v xml:space="preserve"> Need to Order</v>
      </c>
      <c r="V162">
        <f t="shared" si="44"/>
        <v>3912</v>
      </c>
      <c r="W162" s="9">
        <f t="shared" si="45"/>
        <v>1130607.1199999999</v>
      </c>
      <c r="Y162">
        <f t="shared" si="46"/>
        <v>2.5348234177567123E-3</v>
      </c>
      <c r="Z162" s="12">
        <f t="shared" si="56"/>
        <v>0.60355531360013615</v>
      </c>
      <c r="AA162" t="str">
        <f t="shared" si="47"/>
        <v>A</v>
      </c>
      <c r="AB162" t="str">
        <f t="shared" si="48"/>
        <v>Y</v>
      </c>
      <c r="AC162" t="str">
        <f t="shared" si="49"/>
        <v>AY</v>
      </c>
      <c r="AD162" t="str">
        <f t="shared" si="50"/>
        <v>Frequent Monitoring</v>
      </c>
      <c r="AE162" t="str">
        <f t="shared" si="51"/>
        <v>Every 2 Days</v>
      </c>
      <c r="AF162" t="str">
        <f t="shared" si="52"/>
        <v>Frequent Monitoring</v>
      </c>
      <c r="AG162" t="str">
        <f t="shared" si="53"/>
        <v>High</v>
      </c>
      <c r="AH162">
        <f t="shared" si="54"/>
        <v>50</v>
      </c>
      <c r="AI162" t="str">
        <f t="shared" si="55"/>
        <v>Medium</v>
      </c>
    </row>
    <row r="163" spans="1:35">
      <c r="A163" t="s">
        <v>227</v>
      </c>
      <c r="B163" t="s">
        <v>38</v>
      </c>
      <c r="C163" t="s">
        <v>15</v>
      </c>
      <c r="D163" t="s">
        <v>16</v>
      </c>
      <c r="E163">
        <v>114</v>
      </c>
      <c r="F163">
        <v>451</v>
      </c>
      <c r="G163">
        <v>97</v>
      </c>
      <c r="H163">
        <v>1</v>
      </c>
      <c r="I163">
        <v>207.2</v>
      </c>
      <c r="J163">
        <v>0.16</v>
      </c>
      <c r="K163">
        <v>917</v>
      </c>
      <c r="L163">
        <v>0.98</v>
      </c>
      <c r="M163">
        <v>6</v>
      </c>
      <c r="N163" s="1">
        <f t="shared" si="38"/>
        <v>15.033333333333333</v>
      </c>
      <c r="O163" s="1">
        <f>N163*(1+Control_Panel!$B$2)</f>
        <v>15.033333333333333</v>
      </c>
      <c r="P163" s="12">
        <f t="shared" si="39"/>
        <v>0.21507760532150777</v>
      </c>
      <c r="Q163" t="str" cm="1">
        <f t="array" ref="Q163">_xlfn.IFS(P163&lt;0.2,"Stable",P163&lt;=0.5,"Moderate",P163&gt;0.5,"Highly veriable")</f>
        <v>Moderate</v>
      </c>
      <c r="R163" s="1">
        <f t="shared" si="40"/>
        <v>97</v>
      </c>
      <c r="S163" s="1">
        <f t="shared" si="41"/>
        <v>113.03333333333333</v>
      </c>
      <c r="T163" s="1">
        <f t="shared" si="42"/>
        <v>0.96666666666666856</v>
      </c>
      <c r="U163" t="str">
        <f t="shared" si="43"/>
        <v xml:space="preserve"> Risk</v>
      </c>
      <c r="V163">
        <f t="shared" si="44"/>
        <v>5412</v>
      </c>
      <c r="W163" s="9">
        <f t="shared" si="45"/>
        <v>1121366.3999999999</v>
      </c>
      <c r="Y163">
        <f t="shared" si="46"/>
        <v>2.5141057050883783E-3</v>
      </c>
      <c r="Z163" s="12">
        <f t="shared" si="56"/>
        <v>0.60606941930522451</v>
      </c>
      <c r="AA163" t="str">
        <f t="shared" si="47"/>
        <v>A</v>
      </c>
      <c r="AB163" t="str">
        <f t="shared" si="48"/>
        <v>Y</v>
      </c>
      <c r="AC163" t="str">
        <f t="shared" si="49"/>
        <v>AY</v>
      </c>
      <c r="AD163" t="str">
        <f t="shared" si="50"/>
        <v>Frequent Monitoring</v>
      </c>
      <c r="AE163" t="str">
        <f t="shared" si="51"/>
        <v>Every 2 Days</v>
      </c>
      <c r="AF163" t="str">
        <f t="shared" si="52"/>
        <v>Frequent Monitoring</v>
      </c>
      <c r="AG163" t="str">
        <f t="shared" si="53"/>
        <v>High</v>
      </c>
      <c r="AH163">
        <f t="shared" si="54"/>
        <v>60</v>
      </c>
      <c r="AI163" t="str">
        <f t="shared" si="55"/>
        <v>High</v>
      </c>
    </row>
    <row r="164" spans="1:35">
      <c r="A164" t="s">
        <v>341</v>
      </c>
      <c r="B164" t="s">
        <v>38</v>
      </c>
      <c r="C164" t="s">
        <v>22</v>
      </c>
      <c r="D164" t="s">
        <v>41</v>
      </c>
      <c r="E164">
        <v>507</v>
      </c>
      <c r="F164">
        <v>300</v>
      </c>
      <c r="G164">
        <v>23</v>
      </c>
      <c r="H164">
        <v>24</v>
      </c>
      <c r="I164">
        <v>307.2</v>
      </c>
      <c r="J164">
        <v>0.18</v>
      </c>
      <c r="K164">
        <v>978</v>
      </c>
      <c r="L164">
        <v>0.88</v>
      </c>
      <c r="M164">
        <v>7</v>
      </c>
      <c r="N164" s="1">
        <f t="shared" si="38"/>
        <v>10</v>
      </c>
      <c r="O164" s="1">
        <f>N164*(1+Control_Panel!$B$2)</f>
        <v>10</v>
      </c>
      <c r="P164" s="12">
        <f t="shared" si="39"/>
        <v>7.6666666666666661E-2</v>
      </c>
      <c r="Q164" t="str" cm="1">
        <f t="array" ref="Q164">_xlfn.IFS(P164&lt;0.2,"Stable",P164&lt;=0.5,"Moderate",P164&gt;0.5,"Highly veriable")</f>
        <v>Stable</v>
      </c>
      <c r="R164" s="1">
        <f t="shared" si="40"/>
        <v>112.67652816802618</v>
      </c>
      <c r="S164" s="1">
        <f t="shared" si="41"/>
        <v>146.67652816802618</v>
      </c>
      <c r="T164" s="1">
        <f t="shared" si="42"/>
        <v>360.32347183197385</v>
      </c>
      <c r="U164" t="str">
        <f t="shared" si="43"/>
        <v xml:space="preserve"> Safe</v>
      </c>
      <c r="V164">
        <f t="shared" si="44"/>
        <v>3600</v>
      </c>
      <c r="W164" s="9">
        <f t="shared" si="45"/>
        <v>1105920</v>
      </c>
      <c r="Y164">
        <f t="shared" si="46"/>
        <v>2.4794748454843481E-3</v>
      </c>
      <c r="Z164" s="12">
        <f t="shared" si="56"/>
        <v>0.6085488941507089</v>
      </c>
      <c r="AA164" t="str">
        <f t="shared" si="47"/>
        <v>A</v>
      </c>
      <c r="AB164" t="str">
        <f t="shared" si="48"/>
        <v>X</v>
      </c>
      <c r="AC164" t="str">
        <f t="shared" si="49"/>
        <v>AX</v>
      </c>
      <c r="AD164" t="str">
        <f t="shared" si="50"/>
        <v>Strict Control</v>
      </c>
      <c r="AE164" t="str">
        <f t="shared" si="51"/>
        <v>Daily</v>
      </c>
      <c r="AF164" t="str">
        <f t="shared" si="52"/>
        <v>Strict Replenishment</v>
      </c>
      <c r="AG164" t="str">
        <f t="shared" si="53"/>
        <v>Low</v>
      </c>
      <c r="AH164">
        <f t="shared" si="54"/>
        <v>50</v>
      </c>
      <c r="AI164" t="str">
        <f t="shared" si="55"/>
        <v>Medium</v>
      </c>
    </row>
    <row r="165" spans="1:35">
      <c r="A165" t="s">
        <v>54</v>
      </c>
      <c r="B165" t="s">
        <v>18</v>
      </c>
      <c r="C165" t="s">
        <v>15</v>
      </c>
      <c r="D165" t="s">
        <v>23</v>
      </c>
      <c r="E165">
        <v>301</v>
      </c>
      <c r="F165">
        <v>292</v>
      </c>
      <c r="G165">
        <v>41</v>
      </c>
      <c r="H165">
        <v>13</v>
      </c>
      <c r="I165">
        <v>315.33999999999997</v>
      </c>
      <c r="J165">
        <v>0.2</v>
      </c>
      <c r="K165">
        <v>419</v>
      </c>
      <c r="L165">
        <v>0.73</v>
      </c>
      <c r="M165">
        <v>7</v>
      </c>
      <c r="N165" s="1">
        <f t="shared" si="38"/>
        <v>9.7333333333333325</v>
      </c>
      <c r="O165" s="1">
        <f>N165*(1+Control_Panel!$B$2)</f>
        <v>9.7333333333333325</v>
      </c>
      <c r="P165" s="12">
        <f t="shared" si="39"/>
        <v>0.1404109589041096</v>
      </c>
      <c r="Q165" t="str" cm="1">
        <f t="array" ref="Q165">_xlfn.IFS(P165&lt;0.2,"Stable",P165&lt;=0.5,"Moderate",P165&gt;0.5,"Highly veriable")</f>
        <v>Stable</v>
      </c>
      <c r="R165" s="1">
        <f t="shared" si="40"/>
        <v>147.82760229402356</v>
      </c>
      <c r="S165" s="1">
        <f t="shared" si="41"/>
        <v>170.56093562735691</v>
      </c>
      <c r="T165" s="1">
        <f t="shared" si="42"/>
        <v>130.43906437264309</v>
      </c>
      <c r="U165" t="str">
        <f t="shared" si="43"/>
        <v xml:space="preserve"> Risk</v>
      </c>
      <c r="V165">
        <f t="shared" si="44"/>
        <v>3504</v>
      </c>
      <c r="W165" s="9">
        <f t="shared" si="45"/>
        <v>1104951.3599999999</v>
      </c>
      <c r="Y165">
        <f t="shared" si="46"/>
        <v>2.4773031526726342E-3</v>
      </c>
      <c r="Z165" s="12">
        <f t="shared" si="56"/>
        <v>0.61102619730338148</v>
      </c>
      <c r="AA165" t="str">
        <f t="shared" si="47"/>
        <v>A</v>
      </c>
      <c r="AB165" t="str">
        <f t="shared" si="48"/>
        <v>X</v>
      </c>
      <c r="AC165" t="str">
        <f t="shared" si="49"/>
        <v>AX</v>
      </c>
      <c r="AD165" t="str">
        <f t="shared" si="50"/>
        <v>Strict Control</v>
      </c>
      <c r="AE165" t="str">
        <f t="shared" si="51"/>
        <v>Daily</v>
      </c>
      <c r="AF165" t="str">
        <f t="shared" si="52"/>
        <v>Strict Replenishment</v>
      </c>
      <c r="AG165" t="str">
        <f t="shared" si="53"/>
        <v>Low</v>
      </c>
      <c r="AH165">
        <f t="shared" si="54"/>
        <v>50</v>
      </c>
      <c r="AI165" t="str">
        <f t="shared" si="55"/>
        <v>Medium</v>
      </c>
    </row>
    <row r="166" spans="1:35">
      <c r="A166" t="s">
        <v>357</v>
      </c>
      <c r="B166" t="s">
        <v>34</v>
      </c>
      <c r="C166" t="s">
        <v>22</v>
      </c>
      <c r="D166" t="s">
        <v>25</v>
      </c>
      <c r="E166">
        <v>163</v>
      </c>
      <c r="F166">
        <v>300</v>
      </c>
      <c r="G166">
        <v>48</v>
      </c>
      <c r="H166">
        <v>22</v>
      </c>
      <c r="I166">
        <v>306</v>
      </c>
      <c r="J166">
        <v>0.15</v>
      </c>
      <c r="K166">
        <v>624</v>
      </c>
      <c r="L166">
        <v>0.89</v>
      </c>
      <c r="M166">
        <v>10</v>
      </c>
      <c r="N166" s="1">
        <f t="shared" si="38"/>
        <v>10</v>
      </c>
      <c r="O166" s="1">
        <f>N166*(1+Control_Panel!$B$2)</f>
        <v>10</v>
      </c>
      <c r="P166" s="12">
        <f t="shared" si="39"/>
        <v>0.16</v>
      </c>
      <c r="Q166" t="str" cm="1">
        <f t="array" ref="Q166">_xlfn.IFS(P166&lt;0.2,"Stable",P166&lt;=0.5,"Moderate",P166&gt;0.5,"Highly veriable")</f>
        <v>Stable</v>
      </c>
      <c r="R166" s="1">
        <f t="shared" si="40"/>
        <v>225.13995647152461</v>
      </c>
      <c r="S166" s="1">
        <f t="shared" si="41"/>
        <v>257.13995647152461</v>
      </c>
      <c r="T166" s="1">
        <f t="shared" si="42"/>
        <v>-94.139956471524613</v>
      </c>
      <c r="U166" t="str">
        <f t="shared" si="43"/>
        <v xml:space="preserve"> Need to Order</v>
      </c>
      <c r="V166">
        <f t="shared" si="44"/>
        <v>3600</v>
      </c>
      <c r="W166" s="9">
        <f t="shared" si="45"/>
        <v>1101600</v>
      </c>
      <c r="Y166">
        <f t="shared" si="46"/>
        <v>2.4697893968691747E-3</v>
      </c>
      <c r="Z166" s="12">
        <f t="shared" si="56"/>
        <v>0.61349598670025063</v>
      </c>
      <c r="AA166" t="str">
        <f t="shared" si="47"/>
        <v>A</v>
      </c>
      <c r="AB166" t="str">
        <f t="shared" si="48"/>
        <v>X</v>
      </c>
      <c r="AC166" t="str">
        <f t="shared" si="49"/>
        <v>AX</v>
      </c>
      <c r="AD166" t="str">
        <f t="shared" si="50"/>
        <v>Strict Control</v>
      </c>
      <c r="AE166" t="str">
        <f t="shared" si="51"/>
        <v>Daily</v>
      </c>
      <c r="AF166" t="str">
        <f t="shared" si="52"/>
        <v>Strict Replenishment</v>
      </c>
      <c r="AG166" t="str">
        <f t="shared" si="53"/>
        <v>Low</v>
      </c>
      <c r="AH166">
        <f t="shared" si="54"/>
        <v>60</v>
      </c>
      <c r="AI166" t="str">
        <f t="shared" si="55"/>
        <v>High</v>
      </c>
    </row>
    <row r="167" spans="1:35">
      <c r="A167" t="s">
        <v>378</v>
      </c>
      <c r="B167" t="s">
        <v>36</v>
      </c>
      <c r="C167" t="s">
        <v>15</v>
      </c>
      <c r="D167" t="s">
        <v>25</v>
      </c>
      <c r="E167">
        <v>158</v>
      </c>
      <c r="F167">
        <v>225</v>
      </c>
      <c r="G167">
        <v>16</v>
      </c>
      <c r="H167">
        <v>17</v>
      </c>
      <c r="I167">
        <v>406.49</v>
      </c>
      <c r="J167">
        <v>0.23</v>
      </c>
      <c r="K167">
        <v>648</v>
      </c>
      <c r="L167">
        <v>0.83</v>
      </c>
      <c r="M167">
        <v>8</v>
      </c>
      <c r="N167" s="1">
        <f t="shared" si="38"/>
        <v>7.5</v>
      </c>
      <c r="O167" s="1">
        <f>N167*(1+Control_Panel!$B$2)</f>
        <v>7.5</v>
      </c>
      <c r="P167" s="12">
        <f t="shared" si="39"/>
        <v>7.1111111111111111E-2</v>
      </c>
      <c r="Q167" t="str" cm="1">
        <f t="array" ref="Q167">_xlfn.IFS(P167&lt;0.2,"Stable",P167&lt;=0.5,"Moderate",P167&gt;0.5,"Highly veriable")</f>
        <v>Stable</v>
      </c>
      <c r="R167" s="1">
        <f t="shared" si="40"/>
        <v>65.969690009882569</v>
      </c>
      <c r="S167" s="1">
        <f t="shared" si="41"/>
        <v>90.469690009882569</v>
      </c>
      <c r="T167" s="1">
        <f t="shared" si="42"/>
        <v>67.530309990117431</v>
      </c>
      <c r="U167" t="str">
        <f t="shared" si="43"/>
        <v xml:space="preserve"> Safe</v>
      </c>
      <c r="V167">
        <f t="shared" si="44"/>
        <v>2700</v>
      </c>
      <c r="W167" s="9">
        <f t="shared" si="45"/>
        <v>1097523</v>
      </c>
      <c r="Y167">
        <f t="shared" si="46"/>
        <v>2.4606487547386051E-3</v>
      </c>
      <c r="Z167" s="12">
        <f t="shared" si="56"/>
        <v>0.61595663545498924</v>
      </c>
      <c r="AA167" t="str">
        <f t="shared" si="47"/>
        <v>A</v>
      </c>
      <c r="AB167" t="str">
        <f t="shared" si="48"/>
        <v>X</v>
      </c>
      <c r="AC167" t="str">
        <f t="shared" si="49"/>
        <v>AX</v>
      </c>
      <c r="AD167" t="str">
        <f t="shared" si="50"/>
        <v>Strict Control</v>
      </c>
      <c r="AE167" t="str">
        <f t="shared" si="51"/>
        <v>Daily</v>
      </c>
      <c r="AF167" t="str">
        <f t="shared" si="52"/>
        <v>Strict Replenishment</v>
      </c>
      <c r="AG167" t="str">
        <f t="shared" si="53"/>
        <v>Low</v>
      </c>
      <c r="AH167">
        <f t="shared" si="54"/>
        <v>60</v>
      </c>
      <c r="AI167" t="str">
        <f t="shared" si="55"/>
        <v>High</v>
      </c>
    </row>
    <row r="168" spans="1:35">
      <c r="A168" t="s">
        <v>55</v>
      </c>
      <c r="B168" t="s">
        <v>21</v>
      </c>
      <c r="C168" t="s">
        <v>15</v>
      </c>
      <c r="D168" t="s">
        <v>41</v>
      </c>
      <c r="E168">
        <v>245</v>
      </c>
      <c r="F168">
        <v>376</v>
      </c>
      <c r="G168">
        <v>55</v>
      </c>
      <c r="H168">
        <v>29</v>
      </c>
      <c r="I168">
        <v>240.17</v>
      </c>
      <c r="J168">
        <v>0.16</v>
      </c>
      <c r="K168">
        <v>963</v>
      </c>
      <c r="L168">
        <v>0.84</v>
      </c>
      <c r="M168">
        <v>4</v>
      </c>
      <c r="N168" s="1">
        <f t="shared" si="38"/>
        <v>12.533333333333333</v>
      </c>
      <c r="O168" s="1">
        <f>N168*(1+Control_Panel!$B$2)</f>
        <v>12.533333333333333</v>
      </c>
      <c r="P168" s="12">
        <f t="shared" si="39"/>
        <v>0.14627659574468085</v>
      </c>
      <c r="Q168" t="str" cm="1">
        <f t="array" ref="Q168">_xlfn.IFS(P168&lt;0.2,"Stable",P168&lt;=0.5,"Moderate",P168&gt;0.5,"Highly veriable")</f>
        <v>Stable</v>
      </c>
      <c r="R168" s="1">
        <f t="shared" si="40"/>
        <v>296.18406439239772</v>
      </c>
      <c r="S168" s="1">
        <f t="shared" si="41"/>
        <v>337.71739772573108</v>
      </c>
      <c r="T168" s="1">
        <f t="shared" si="42"/>
        <v>-92.717397725731075</v>
      </c>
      <c r="U168" t="str">
        <f t="shared" si="43"/>
        <v xml:space="preserve"> Need to Order</v>
      </c>
      <c r="V168">
        <f t="shared" si="44"/>
        <v>4512</v>
      </c>
      <c r="W168" s="9">
        <f t="shared" si="45"/>
        <v>1083647.04</v>
      </c>
      <c r="Y168">
        <f t="shared" si="46"/>
        <v>2.4295388247464293E-3</v>
      </c>
      <c r="Z168" s="12">
        <f t="shared" si="56"/>
        <v>0.61838617427973563</v>
      </c>
      <c r="AA168" t="str">
        <f t="shared" si="47"/>
        <v>A</v>
      </c>
      <c r="AB168" t="str">
        <f t="shared" si="48"/>
        <v>X</v>
      </c>
      <c r="AC168" t="str">
        <f t="shared" si="49"/>
        <v>AX</v>
      </c>
      <c r="AD168" t="str">
        <f t="shared" si="50"/>
        <v>Strict Control</v>
      </c>
      <c r="AE168" t="str">
        <f t="shared" si="51"/>
        <v>Daily</v>
      </c>
      <c r="AF168" t="str">
        <f t="shared" si="52"/>
        <v>Strict Replenishment</v>
      </c>
      <c r="AG168" t="str">
        <f t="shared" si="53"/>
        <v>Low</v>
      </c>
      <c r="AH168">
        <f t="shared" si="54"/>
        <v>40</v>
      </c>
      <c r="AI168" t="str">
        <f t="shared" si="55"/>
        <v>Low</v>
      </c>
    </row>
    <row r="169" spans="1:35">
      <c r="A169" t="s">
        <v>24</v>
      </c>
      <c r="B169" t="s">
        <v>21</v>
      </c>
      <c r="C169" t="s">
        <v>22</v>
      </c>
      <c r="D169" t="s">
        <v>25</v>
      </c>
      <c r="E169">
        <v>333</v>
      </c>
      <c r="F169">
        <v>360</v>
      </c>
      <c r="G169">
        <v>80</v>
      </c>
      <c r="H169">
        <v>11</v>
      </c>
      <c r="I169">
        <v>248.63</v>
      </c>
      <c r="J169">
        <v>0.09</v>
      </c>
      <c r="K169">
        <v>785</v>
      </c>
      <c r="L169">
        <v>0.98</v>
      </c>
      <c r="M169">
        <v>7</v>
      </c>
      <c r="N169" s="1">
        <f t="shared" si="38"/>
        <v>12</v>
      </c>
      <c r="O169" s="1">
        <f>N169*(1+Control_Panel!$B$2)</f>
        <v>12</v>
      </c>
      <c r="P169" s="12">
        <f t="shared" si="39"/>
        <v>0.22222222222222221</v>
      </c>
      <c r="Q169" t="str" cm="1">
        <f t="array" ref="Q169">_xlfn.IFS(P169&lt;0.2,"Stable",P169&lt;=0.5,"Moderate",P169&gt;0.5,"Highly veriable")</f>
        <v>Moderate</v>
      </c>
      <c r="R169" s="1">
        <f t="shared" si="40"/>
        <v>265.32998322843196</v>
      </c>
      <c r="S169" s="1">
        <f t="shared" si="41"/>
        <v>288.32998322843196</v>
      </c>
      <c r="T169" s="1">
        <f t="shared" si="42"/>
        <v>44.670016771568044</v>
      </c>
      <c r="U169" t="str">
        <f t="shared" si="43"/>
        <v xml:space="preserve"> Risk</v>
      </c>
      <c r="V169">
        <f t="shared" si="44"/>
        <v>4320</v>
      </c>
      <c r="W169" s="9">
        <f t="shared" si="45"/>
        <v>1074081.6000000001</v>
      </c>
      <c r="Y169">
        <f t="shared" si="46"/>
        <v>2.4080930891905213E-3</v>
      </c>
      <c r="Z169" s="12">
        <f t="shared" si="56"/>
        <v>0.62079426736892618</v>
      </c>
      <c r="AA169" t="str">
        <f t="shared" si="47"/>
        <v>A</v>
      </c>
      <c r="AB169" t="str">
        <f t="shared" si="48"/>
        <v>Y</v>
      </c>
      <c r="AC169" t="str">
        <f t="shared" si="49"/>
        <v>AY</v>
      </c>
      <c r="AD169" t="str">
        <f t="shared" si="50"/>
        <v>Frequent Monitoring</v>
      </c>
      <c r="AE169" t="str">
        <f t="shared" si="51"/>
        <v>Every 2 Days</v>
      </c>
      <c r="AF169" t="str">
        <f t="shared" si="52"/>
        <v>Frequent Monitoring</v>
      </c>
      <c r="AG169" t="str">
        <f t="shared" si="53"/>
        <v>High</v>
      </c>
      <c r="AH169">
        <f t="shared" si="54"/>
        <v>60</v>
      </c>
      <c r="AI169" t="str">
        <f t="shared" si="55"/>
        <v>High</v>
      </c>
    </row>
    <row r="170" spans="1:35">
      <c r="A170" t="s">
        <v>476</v>
      </c>
      <c r="B170" t="s">
        <v>14</v>
      </c>
      <c r="C170" t="s">
        <v>15</v>
      </c>
      <c r="D170" t="s">
        <v>23</v>
      </c>
      <c r="E170">
        <v>779</v>
      </c>
      <c r="F170">
        <v>374</v>
      </c>
      <c r="G170">
        <v>45</v>
      </c>
      <c r="H170">
        <v>1</v>
      </c>
      <c r="I170">
        <v>236.42</v>
      </c>
      <c r="J170">
        <v>0.19</v>
      </c>
      <c r="K170">
        <v>340</v>
      </c>
      <c r="L170">
        <v>0.94</v>
      </c>
      <c r="M170">
        <v>10</v>
      </c>
      <c r="N170" s="1">
        <f t="shared" si="38"/>
        <v>12.466666666666667</v>
      </c>
      <c r="O170" s="1">
        <f>N170*(1+Control_Panel!$B$2)</f>
        <v>12.466666666666667</v>
      </c>
      <c r="P170" s="12">
        <f t="shared" si="39"/>
        <v>0.12032085561497326</v>
      </c>
      <c r="Q170" t="str" cm="1">
        <f t="array" ref="Q170">_xlfn.IFS(P170&lt;0.2,"Stable",P170&lt;=0.5,"Moderate",P170&gt;0.5,"Highly veriable")</f>
        <v>Stable</v>
      </c>
      <c r="R170" s="1">
        <f t="shared" si="40"/>
        <v>45</v>
      </c>
      <c r="S170" s="1">
        <f t="shared" si="41"/>
        <v>58.466666666666669</v>
      </c>
      <c r="T170" s="1">
        <f t="shared" si="42"/>
        <v>720.5333333333333</v>
      </c>
      <c r="U170" t="str">
        <f t="shared" si="43"/>
        <v xml:space="preserve"> Safe</v>
      </c>
      <c r="V170">
        <f t="shared" si="44"/>
        <v>4488</v>
      </c>
      <c r="W170" s="9">
        <f t="shared" si="45"/>
        <v>1061052.96</v>
      </c>
      <c r="Y170">
        <f t="shared" si="46"/>
        <v>2.3788828523281158E-3</v>
      </c>
      <c r="Z170" s="12">
        <f t="shared" si="56"/>
        <v>0.6231731502212543</v>
      </c>
      <c r="AA170" t="str">
        <f t="shared" si="47"/>
        <v>A</v>
      </c>
      <c r="AB170" t="str">
        <f t="shared" si="48"/>
        <v>X</v>
      </c>
      <c r="AC170" t="str">
        <f t="shared" si="49"/>
        <v>AX</v>
      </c>
      <c r="AD170" t="str">
        <f t="shared" si="50"/>
        <v>Strict Control</v>
      </c>
      <c r="AE170" t="str">
        <f t="shared" si="51"/>
        <v>Daily</v>
      </c>
      <c r="AF170" t="str">
        <f t="shared" si="52"/>
        <v>Strict Replenishment</v>
      </c>
      <c r="AG170" t="str">
        <f t="shared" si="53"/>
        <v>Low</v>
      </c>
      <c r="AH170">
        <f t="shared" si="54"/>
        <v>60</v>
      </c>
      <c r="AI170" t="str">
        <f t="shared" si="55"/>
        <v>High</v>
      </c>
    </row>
    <row r="171" spans="1:35">
      <c r="A171" t="s">
        <v>208</v>
      </c>
      <c r="B171" t="s">
        <v>18</v>
      </c>
      <c r="C171" t="s">
        <v>22</v>
      </c>
      <c r="D171" t="s">
        <v>41</v>
      </c>
      <c r="E171">
        <v>897</v>
      </c>
      <c r="F171">
        <v>216</v>
      </c>
      <c r="G171">
        <v>77</v>
      </c>
      <c r="H171">
        <v>18</v>
      </c>
      <c r="I171">
        <v>406.98</v>
      </c>
      <c r="J171">
        <v>7.0000000000000007E-2</v>
      </c>
      <c r="K171">
        <v>163</v>
      </c>
      <c r="L171">
        <v>0.83</v>
      </c>
      <c r="M171">
        <v>5</v>
      </c>
      <c r="N171" s="1">
        <f t="shared" si="38"/>
        <v>7.2</v>
      </c>
      <c r="O171" s="1">
        <f>N171*(1+Control_Panel!$B$2)</f>
        <v>7.2</v>
      </c>
      <c r="P171" s="12">
        <f t="shared" si="39"/>
        <v>0.35648148148148145</v>
      </c>
      <c r="Q171" t="str" cm="1">
        <f t="array" ref="Q171">_xlfn.IFS(P171&lt;0.2,"Stable",P171&lt;=0.5,"Moderate",P171&gt;0.5,"Highly veriable")</f>
        <v>Moderate</v>
      </c>
      <c r="R171" s="1">
        <f t="shared" si="40"/>
        <v>326.68333290818492</v>
      </c>
      <c r="S171" s="1">
        <f t="shared" si="41"/>
        <v>351.88333290818491</v>
      </c>
      <c r="T171" s="1">
        <f t="shared" si="42"/>
        <v>545.11666709181509</v>
      </c>
      <c r="U171" t="str">
        <f t="shared" si="43"/>
        <v xml:space="preserve"> Safe</v>
      </c>
      <c r="V171">
        <f t="shared" si="44"/>
        <v>2592</v>
      </c>
      <c r="W171" s="9">
        <f t="shared" si="45"/>
        <v>1054892.1600000001</v>
      </c>
      <c r="Y171">
        <f t="shared" si="46"/>
        <v>2.365070326441922E-3</v>
      </c>
      <c r="Z171" s="12">
        <f t="shared" si="56"/>
        <v>0.62553822054769626</v>
      </c>
      <c r="AA171" t="str">
        <f t="shared" si="47"/>
        <v>A</v>
      </c>
      <c r="AB171" t="str">
        <f t="shared" si="48"/>
        <v>Y</v>
      </c>
      <c r="AC171" t="str">
        <f t="shared" si="49"/>
        <v>AY</v>
      </c>
      <c r="AD171" t="str">
        <f t="shared" si="50"/>
        <v>Frequent Monitoring</v>
      </c>
      <c r="AE171" t="str">
        <f t="shared" si="51"/>
        <v>Every 2 Days</v>
      </c>
      <c r="AF171" t="str">
        <f t="shared" si="52"/>
        <v>Frequent Monitoring</v>
      </c>
      <c r="AG171" t="str">
        <f t="shared" si="53"/>
        <v>High</v>
      </c>
      <c r="AH171">
        <f t="shared" si="54"/>
        <v>60</v>
      </c>
      <c r="AI171" t="str">
        <f t="shared" si="55"/>
        <v>High</v>
      </c>
    </row>
    <row r="172" spans="1:35">
      <c r="A172" t="s">
        <v>95</v>
      </c>
      <c r="B172" t="s">
        <v>18</v>
      </c>
      <c r="C172" t="s">
        <v>22</v>
      </c>
      <c r="D172" t="s">
        <v>19</v>
      </c>
      <c r="E172">
        <v>525</v>
      </c>
      <c r="F172">
        <v>204</v>
      </c>
      <c r="G172">
        <v>90</v>
      </c>
      <c r="H172">
        <v>22</v>
      </c>
      <c r="I172">
        <v>429.08</v>
      </c>
      <c r="J172">
        <v>0.24</v>
      </c>
      <c r="K172">
        <v>110</v>
      </c>
      <c r="L172">
        <v>0.71</v>
      </c>
      <c r="M172">
        <v>4</v>
      </c>
      <c r="N172" s="1">
        <f t="shared" si="38"/>
        <v>6.8</v>
      </c>
      <c r="O172" s="1">
        <f>N172*(1+Control_Panel!$B$2)</f>
        <v>6.8</v>
      </c>
      <c r="P172" s="12">
        <f t="shared" si="39"/>
        <v>0.44117647058823528</v>
      </c>
      <c r="Q172" t="str" cm="1">
        <f t="array" ref="Q172">_xlfn.IFS(P172&lt;0.2,"Stable",P172&lt;=0.5,"Moderate",P172&gt;0.5,"Highly veriable")</f>
        <v>Moderate</v>
      </c>
      <c r="R172" s="1">
        <f t="shared" si="40"/>
        <v>422.13741838410868</v>
      </c>
      <c r="S172" s="1">
        <f t="shared" si="41"/>
        <v>450.9374183841087</v>
      </c>
      <c r="T172" s="1">
        <f t="shared" si="42"/>
        <v>74.062581615891304</v>
      </c>
      <c r="U172" t="str">
        <f t="shared" si="43"/>
        <v xml:space="preserve"> Risk</v>
      </c>
      <c r="V172">
        <f t="shared" si="44"/>
        <v>2448</v>
      </c>
      <c r="W172" s="9">
        <f t="shared" si="45"/>
        <v>1050387.8399999999</v>
      </c>
      <c r="Y172">
        <f t="shared" si="46"/>
        <v>2.3549716320191674E-3</v>
      </c>
      <c r="Z172" s="12">
        <f t="shared" si="56"/>
        <v>0.6278931921797154</v>
      </c>
      <c r="AA172" t="str">
        <f t="shared" si="47"/>
        <v>A</v>
      </c>
      <c r="AB172" t="str">
        <f t="shared" si="48"/>
        <v>Y</v>
      </c>
      <c r="AC172" t="str">
        <f t="shared" si="49"/>
        <v>AY</v>
      </c>
      <c r="AD172" t="str">
        <f t="shared" si="50"/>
        <v>Frequent Monitoring</v>
      </c>
      <c r="AE172" t="str">
        <f t="shared" si="51"/>
        <v>Every 2 Days</v>
      </c>
      <c r="AF172" t="str">
        <f t="shared" si="52"/>
        <v>Frequent Monitoring</v>
      </c>
      <c r="AG172" t="str">
        <f t="shared" si="53"/>
        <v>High</v>
      </c>
      <c r="AH172">
        <f t="shared" si="54"/>
        <v>50</v>
      </c>
      <c r="AI172" t="str">
        <f t="shared" si="55"/>
        <v>Medium</v>
      </c>
    </row>
    <row r="173" spans="1:35">
      <c r="A173" t="s">
        <v>151</v>
      </c>
      <c r="B173" t="s">
        <v>34</v>
      </c>
      <c r="C173" t="s">
        <v>15</v>
      </c>
      <c r="D173" t="s">
        <v>16</v>
      </c>
      <c r="E173">
        <v>658</v>
      </c>
      <c r="F173">
        <v>400</v>
      </c>
      <c r="G173">
        <v>80</v>
      </c>
      <c r="H173">
        <v>14</v>
      </c>
      <c r="I173">
        <v>215.23</v>
      </c>
      <c r="J173">
        <v>0.24</v>
      </c>
      <c r="K173">
        <v>628</v>
      </c>
      <c r="L173">
        <v>0.79</v>
      </c>
      <c r="M173">
        <v>5</v>
      </c>
      <c r="N173" s="1">
        <f t="shared" si="38"/>
        <v>13.333333333333334</v>
      </c>
      <c r="O173" s="1">
        <f>N173*(1+Control_Panel!$B$2)</f>
        <v>13.333333333333334</v>
      </c>
      <c r="P173" s="12">
        <f t="shared" si="39"/>
        <v>0.2</v>
      </c>
      <c r="Q173" t="str" cm="1">
        <f t="array" ref="Q173">_xlfn.IFS(P173&lt;0.2,"Stable",P173&lt;=0.5,"Moderate",P173&gt;0.5,"Highly veriable")</f>
        <v>Moderate</v>
      </c>
      <c r="R173" s="1">
        <f t="shared" si="40"/>
        <v>299.33259094191533</v>
      </c>
      <c r="S173" s="1">
        <f t="shared" si="41"/>
        <v>326.66592427524864</v>
      </c>
      <c r="T173" s="1">
        <f t="shared" si="42"/>
        <v>331.33407572475136</v>
      </c>
      <c r="U173" t="str">
        <f t="shared" si="43"/>
        <v xml:space="preserve"> Safe</v>
      </c>
      <c r="V173">
        <f t="shared" si="44"/>
        <v>4800</v>
      </c>
      <c r="W173" s="9">
        <f t="shared" si="45"/>
        <v>1033104</v>
      </c>
      <c r="Y173">
        <f t="shared" si="46"/>
        <v>2.316221228270817E-3</v>
      </c>
      <c r="Z173" s="12">
        <f t="shared" si="56"/>
        <v>0.6302094134079862</v>
      </c>
      <c r="AA173" t="str">
        <f t="shared" si="47"/>
        <v>A</v>
      </c>
      <c r="AB173" t="str">
        <f t="shared" si="48"/>
        <v>X</v>
      </c>
      <c r="AC173" t="str">
        <f t="shared" si="49"/>
        <v>AX</v>
      </c>
      <c r="AD173" t="str">
        <f t="shared" si="50"/>
        <v>Strict Control</v>
      </c>
      <c r="AE173" t="str">
        <f t="shared" si="51"/>
        <v>Daily</v>
      </c>
      <c r="AF173" t="str">
        <f t="shared" si="52"/>
        <v>Strict Replenishment</v>
      </c>
      <c r="AG173" t="str">
        <f t="shared" si="53"/>
        <v>Low</v>
      </c>
      <c r="AH173">
        <f t="shared" si="54"/>
        <v>50</v>
      </c>
      <c r="AI173" t="str">
        <f t="shared" si="55"/>
        <v>Medium</v>
      </c>
    </row>
    <row r="174" spans="1:35">
      <c r="A174" t="s">
        <v>323</v>
      </c>
      <c r="B174" t="s">
        <v>34</v>
      </c>
      <c r="C174" t="s">
        <v>22</v>
      </c>
      <c r="D174" t="s">
        <v>23</v>
      </c>
      <c r="E174">
        <v>582</v>
      </c>
      <c r="F174">
        <v>281</v>
      </c>
      <c r="G174">
        <v>45</v>
      </c>
      <c r="H174">
        <v>5</v>
      </c>
      <c r="I174">
        <v>304.54000000000002</v>
      </c>
      <c r="J174">
        <v>0.1</v>
      </c>
      <c r="K174">
        <v>261</v>
      </c>
      <c r="L174">
        <v>0.76</v>
      </c>
      <c r="M174">
        <v>4</v>
      </c>
      <c r="N174" s="1">
        <f t="shared" si="38"/>
        <v>9.3666666666666671</v>
      </c>
      <c r="O174" s="1">
        <f>N174*(1+Control_Panel!$B$2)</f>
        <v>9.3666666666666671</v>
      </c>
      <c r="P174" s="12">
        <f t="shared" si="39"/>
        <v>0.16014234875444841</v>
      </c>
      <c r="Q174" t="str" cm="1">
        <f t="array" ref="Q174">_xlfn.IFS(P174&lt;0.2,"Stable",P174&lt;=0.5,"Moderate",P174&gt;0.5,"Highly veriable")</f>
        <v>Stable</v>
      </c>
      <c r="R174" s="1">
        <f t="shared" si="40"/>
        <v>100.62305898749054</v>
      </c>
      <c r="S174" s="1">
        <f t="shared" si="41"/>
        <v>114.98972565415721</v>
      </c>
      <c r="T174" s="1">
        <f t="shared" si="42"/>
        <v>467.01027434584279</v>
      </c>
      <c r="U174" t="str">
        <f t="shared" si="43"/>
        <v xml:space="preserve"> Safe</v>
      </c>
      <c r="V174">
        <f t="shared" si="44"/>
        <v>3372</v>
      </c>
      <c r="W174" s="9">
        <f t="shared" si="45"/>
        <v>1026908.8800000001</v>
      </c>
      <c r="Y174">
        <f t="shared" si="46"/>
        <v>2.3023317568761801E-3</v>
      </c>
      <c r="Z174" s="12">
        <f t="shared" si="56"/>
        <v>0.63251174516486242</v>
      </c>
      <c r="AA174" t="str">
        <f t="shared" si="47"/>
        <v>A</v>
      </c>
      <c r="AB174" t="str">
        <f t="shared" si="48"/>
        <v>X</v>
      </c>
      <c r="AC174" t="str">
        <f t="shared" si="49"/>
        <v>AX</v>
      </c>
      <c r="AD174" t="str">
        <f t="shared" si="50"/>
        <v>Strict Control</v>
      </c>
      <c r="AE174" t="str">
        <f t="shared" si="51"/>
        <v>Daily</v>
      </c>
      <c r="AF174" t="str">
        <f t="shared" si="52"/>
        <v>Strict Replenishment</v>
      </c>
      <c r="AG174" t="str">
        <f t="shared" si="53"/>
        <v>Low</v>
      </c>
      <c r="AH174">
        <f t="shared" si="54"/>
        <v>40</v>
      </c>
      <c r="AI174" t="str">
        <f t="shared" si="55"/>
        <v>Low</v>
      </c>
    </row>
    <row r="175" spans="1:35">
      <c r="A175" t="s">
        <v>100</v>
      </c>
      <c r="B175" t="s">
        <v>34</v>
      </c>
      <c r="C175" t="s">
        <v>22</v>
      </c>
      <c r="D175" t="s">
        <v>19</v>
      </c>
      <c r="E175">
        <v>188</v>
      </c>
      <c r="F175">
        <v>469</v>
      </c>
      <c r="G175">
        <v>28</v>
      </c>
      <c r="H175">
        <v>28</v>
      </c>
      <c r="I175">
        <v>182.36</v>
      </c>
      <c r="J175">
        <v>0.05</v>
      </c>
      <c r="K175">
        <v>387</v>
      </c>
      <c r="L175">
        <v>0.92</v>
      </c>
      <c r="M175">
        <v>6</v>
      </c>
      <c r="N175" s="1">
        <f t="shared" si="38"/>
        <v>15.633333333333333</v>
      </c>
      <c r="O175" s="1">
        <f>N175*(1+Control_Panel!$B$2)</f>
        <v>15.633333333333333</v>
      </c>
      <c r="P175" s="12">
        <f t="shared" si="39"/>
        <v>5.9701492537313432E-2</v>
      </c>
      <c r="Q175" t="str" cm="1">
        <f t="array" ref="Q175">_xlfn.IFS(P175&lt;0.2,"Stable",P175&lt;=0.5,"Moderate",P175&gt;0.5,"Highly veriable")</f>
        <v>Stable</v>
      </c>
      <c r="R175" s="1">
        <f t="shared" si="40"/>
        <v>148.16207341961709</v>
      </c>
      <c r="S175" s="1">
        <f t="shared" si="41"/>
        <v>191.79540675295041</v>
      </c>
      <c r="T175" s="1">
        <f t="shared" si="42"/>
        <v>-3.795406752950413</v>
      </c>
      <c r="U175" t="str">
        <f t="shared" si="43"/>
        <v xml:space="preserve"> Need to Order</v>
      </c>
      <c r="V175">
        <f t="shared" si="44"/>
        <v>5628</v>
      </c>
      <c r="W175" s="9">
        <f t="shared" si="45"/>
        <v>1026322.0800000001</v>
      </c>
      <c r="Y175">
        <f t="shared" si="46"/>
        <v>2.3010161501059523E-3</v>
      </c>
      <c r="Z175" s="12">
        <f t="shared" si="56"/>
        <v>0.63481276131496833</v>
      </c>
      <c r="AA175" t="str">
        <f t="shared" si="47"/>
        <v>A</v>
      </c>
      <c r="AB175" t="str">
        <f t="shared" si="48"/>
        <v>X</v>
      </c>
      <c r="AC175" t="str">
        <f t="shared" si="49"/>
        <v>AX</v>
      </c>
      <c r="AD175" t="str">
        <f t="shared" si="50"/>
        <v>Strict Control</v>
      </c>
      <c r="AE175" t="str">
        <f t="shared" si="51"/>
        <v>Daily</v>
      </c>
      <c r="AF175" t="str">
        <f t="shared" si="52"/>
        <v>Strict Replenishment</v>
      </c>
      <c r="AG175" t="str">
        <f t="shared" si="53"/>
        <v>Low</v>
      </c>
      <c r="AH175">
        <f t="shared" si="54"/>
        <v>50</v>
      </c>
      <c r="AI175" t="str">
        <f t="shared" si="55"/>
        <v>Medium</v>
      </c>
    </row>
    <row r="176" spans="1:35">
      <c r="A176" t="s">
        <v>57</v>
      </c>
      <c r="B176" t="s">
        <v>14</v>
      </c>
      <c r="C176" t="s">
        <v>22</v>
      </c>
      <c r="D176" t="s">
        <v>25</v>
      </c>
      <c r="E176">
        <v>31</v>
      </c>
      <c r="F176">
        <v>185</v>
      </c>
      <c r="G176">
        <v>77</v>
      </c>
      <c r="H176">
        <v>23</v>
      </c>
      <c r="I176">
        <v>461.36</v>
      </c>
      <c r="J176">
        <v>0.11</v>
      </c>
      <c r="K176">
        <v>500</v>
      </c>
      <c r="L176">
        <v>0.88</v>
      </c>
      <c r="M176">
        <v>5</v>
      </c>
      <c r="N176" s="1">
        <f t="shared" si="38"/>
        <v>6.166666666666667</v>
      </c>
      <c r="O176" s="1">
        <f>N176*(1+Control_Panel!$B$2)</f>
        <v>6.166666666666667</v>
      </c>
      <c r="P176" s="12">
        <f t="shared" si="39"/>
        <v>0.41621621621621624</v>
      </c>
      <c r="Q176" t="str" cm="1">
        <f t="array" ref="Q176">_xlfn.IFS(P176&lt;0.2,"Stable",P176&lt;=0.5,"Moderate",P176&gt;0.5,"Highly veriable")</f>
        <v>Moderate</v>
      </c>
      <c r="R176" s="1">
        <f t="shared" si="40"/>
        <v>369.27902729507935</v>
      </c>
      <c r="S176" s="1">
        <f t="shared" si="41"/>
        <v>398.44569396174603</v>
      </c>
      <c r="T176" s="1">
        <f t="shared" si="42"/>
        <v>-367.44569396174603</v>
      </c>
      <c r="U176" t="str">
        <f t="shared" si="43"/>
        <v xml:space="preserve"> Need to Order</v>
      </c>
      <c r="V176">
        <f t="shared" si="44"/>
        <v>2220</v>
      </c>
      <c r="W176" s="9">
        <f t="shared" si="45"/>
        <v>1024219.2000000001</v>
      </c>
      <c r="Y176">
        <f t="shared" si="46"/>
        <v>2.2963014889522777E-3</v>
      </c>
      <c r="Z176" s="12">
        <f t="shared" si="56"/>
        <v>0.63710906280392066</v>
      </c>
      <c r="AA176" t="str">
        <f t="shared" si="47"/>
        <v>A</v>
      </c>
      <c r="AB176" t="str">
        <f t="shared" si="48"/>
        <v>Y</v>
      </c>
      <c r="AC176" t="str">
        <f t="shared" si="49"/>
        <v>AY</v>
      </c>
      <c r="AD176" t="str">
        <f t="shared" si="50"/>
        <v>Frequent Monitoring</v>
      </c>
      <c r="AE176" t="str">
        <f t="shared" si="51"/>
        <v>Every 2 Days</v>
      </c>
      <c r="AF176" t="str">
        <f t="shared" si="52"/>
        <v>Frequent Monitoring</v>
      </c>
      <c r="AG176" t="str">
        <f t="shared" si="53"/>
        <v>High</v>
      </c>
      <c r="AH176">
        <f t="shared" si="54"/>
        <v>60</v>
      </c>
      <c r="AI176" t="str">
        <f t="shared" si="55"/>
        <v>High</v>
      </c>
    </row>
    <row r="177" spans="1:35">
      <c r="A177" t="s">
        <v>175</v>
      </c>
      <c r="B177" t="s">
        <v>34</v>
      </c>
      <c r="C177" t="s">
        <v>22</v>
      </c>
      <c r="D177" t="s">
        <v>41</v>
      </c>
      <c r="E177">
        <v>931</v>
      </c>
      <c r="F177">
        <v>485</v>
      </c>
      <c r="G177">
        <v>77</v>
      </c>
      <c r="H177">
        <v>28</v>
      </c>
      <c r="I177">
        <v>174.76</v>
      </c>
      <c r="J177">
        <v>0.21</v>
      </c>
      <c r="K177">
        <v>117</v>
      </c>
      <c r="L177">
        <v>0.84</v>
      </c>
      <c r="M177">
        <v>2</v>
      </c>
      <c r="N177" s="1">
        <f t="shared" si="38"/>
        <v>16.166666666666668</v>
      </c>
      <c r="O177" s="1">
        <f>N177*(1+Control_Panel!$B$2)</f>
        <v>16.166666666666668</v>
      </c>
      <c r="P177" s="12">
        <f t="shared" si="39"/>
        <v>0.15876288659793814</v>
      </c>
      <c r="Q177" t="str" cm="1">
        <f t="array" ref="Q177">_xlfn.IFS(P177&lt;0.2,"Stable",P177&lt;=0.5,"Moderate",P177&gt;0.5,"Highly veriable")</f>
        <v>Stable</v>
      </c>
      <c r="R177" s="1">
        <f t="shared" si="40"/>
        <v>407.445701903947</v>
      </c>
      <c r="S177" s="1">
        <f t="shared" si="41"/>
        <v>451.61236857061368</v>
      </c>
      <c r="T177" s="1">
        <f t="shared" si="42"/>
        <v>479.38763142938632</v>
      </c>
      <c r="U177" t="str">
        <f t="shared" si="43"/>
        <v xml:space="preserve"> Safe</v>
      </c>
      <c r="V177">
        <f t="shared" si="44"/>
        <v>5820</v>
      </c>
      <c r="W177" s="9">
        <f t="shared" si="45"/>
        <v>1017103.2</v>
      </c>
      <c r="Y177">
        <f t="shared" si="46"/>
        <v>2.2803474027611723E-3</v>
      </c>
      <c r="Z177" s="12">
        <f t="shared" si="56"/>
        <v>0.63938941020668183</v>
      </c>
      <c r="AA177" t="str">
        <f t="shared" si="47"/>
        <v>A</v>
      </c>
      <c r="AB177" t="str">
        <f t="shared" si="48"/>
        <v>X</v>
      </c>
      <c r="AC177" t="str">
        <f t="shared" si="49"/>
        <v>AX</v>
      </c>
      <c r="AD177" t="str">
        <f t="shared" si="50"/>
        <v>Strict Control</v>
      </c>
      <c r="AE177" t="str">
        <f t="shared" si="51"/>
        <v>Daily</v>
      </c>
      <c r="AF177" t="str">
        <f t="shared" si="52"/>
        <v>Strict Replenishment</v>
      </c>
      <c r="AG177" t="str">
        <f t="shared" si="53"/>
        <v>Low</v>
      </c>
      <c r="AH177">
        <f t="shared" si="54"/>
        <v>40</v>
      </c>
      <c r="AI177" t="str">
        <f t="shared" si="55"/>
        <v>Low</v>
      </c>
    </row>
    <row r="178" spans="1:35">
      <c r="A178" t="s">
        <v>91</v>
      </c>
      <c r="B178" t="s">
        <v>18</v>
      </c>
      <c r="C178" t="s">
        <v>15</v>
      </c>
      <c r="D178" t="s">
        <v>23</v>
      </c>
      <c r="E178">
        <v>562</v>
      </c>
      <c r="F178">
        <v>411</v>
      </c>
      <c r="G178">
        <v>81</v>
      </c>
      <c r="H178">
        <v>21</v>
      </c>
      <c r="I178">
        <v>205.68</v>
      </c>
      <c r="J178">
        <v>0.21</v>
      </c>
      <c r="K178">
        <v>584</v>
      </c>
      <c r="L178">
        <v>0.89</v>
      </c>
      <c r="M178">
        <v>3</v>
      </c>
      <c r="N178" s="1">
        <f t="shared" si="38"/>
        <v>13.7</v>
      </c>
      <c r="O178" s="1">
        <f>N178*(1+Control_Panel!$B$2)</f>
        <v>13.7</v>
      </c>
      <c r="P178" s="12">
        <f t="shared" si="39"/>
        <v>0.19708029197080293</v>
      </c>
      <c r="Q178" t="str" cm="1">
        <f t="array" ref="Q178">_xlfn.IFS(P178&lt;0.2,"Stable",P178&lt;=0.5,"Moderate",P178&gt;0.5,"Highly veriable")</f>
        <v>Stable</v>
      </c>
      <c r="R178" s="1">
        <f t="shared" si="40"/>
        <v>371.18863129142301</v>
      </c>
      <c r="S178" s="1">
        <f t="shared" si="41"/>
        <v>405.888631291423</v>
      </c>
      <c r="T178" s="1">
        <f t="shared" si="42"/>
        <v>156.111368708577</v>
      </c>
      <c r="U178" t="str">
        <f t="shared" si="43"/>
        <v xml:space="preserve"> Risk</v>
      </c>
      <c r="V178">
        <f t="shared" si="44"/>
        <v>4932</v>
      </c>
      <c r="W178" s="9">
        <f t="shared" si="45"/>
        <v>1014413.76</v>
      </c>
      <c r="Y178">
        <f t="shared" si="46"/>
        <v>2.2743176729177485E-3</v>
      </c>
      <c r="Z178" s="12">
        <f t="shared" si="56"/>
        <v>0.64166372787959958</v>
      </c>
      <c r="AA178" t="str">
        <f t="shared" si="47"/>
        <v>A</v>
      </c>
      <c r="AB178" t="str">
        <f t="shared" si="48"/>
        <v>X</v>
      </c>
      <c r="AC178" t="str">
        <f t="shared" si="49"/>
        <v>AX</v>
      </c>
      <c r="AD178" t="str">
        <f t="shared" si="50"/>
        <v>Strict Control</v>
      </c>
      <c r="AE178" t="str">
        <f t="shared" si="51"/>
        <v>Daily</v>
      </c>
      <c r="AF178" t="str">
        <f t="shared" si="52"/>
        <v>Strict Replenishment</v>
      </c>
      <c r="AG178" t="str">
        <f t="shared" si="53"/>
        <v>Low</v>
      </c>
      <c r="AH178">
        <f t="shared" si="54"/>
        <v>40</v>
      </c>
      <c r="AI178" t="str">
        <f t="shared" si="55"/>
        <v>Low</v>
      </c>
    </row>
    <row r="179" spans="1:35">
      <c r="A179" t="s">
        <v>496</v>
      </c>
      <c r="B179" t="s">
        <v>14</v>
      </c>
      <c r="C179" t="s">
        <v>15</v>
      </c>
      <c r="D179" t="s">
        <v>41</v>
      </c>
      <c r="E179">
        <v>736</v>
      </c>
      <c r="F179">
        <v>490</v>
      </c>
      <c r="G179">
        <v>100</v>
      </c>
      <c r="H179">
        <v>17</v>
      </c>
      <c r="I179">
        <v>171.99</v>
      </c>
      <c r="J179">
        <v>0.19</v>
      </c>
      <c r="K179">
        <v>995</v>
      </c>
      <c r="L179">
        <v>0.74</v>
      </c>
      <c r="M179">
        <v>6</v>
      </c>
      <c r="N179" s="1">
        <f t="shared" si="38"/>
        <v>16.333333333333332</v>
      </c>
      <c r="O179" s="1">
        <f>N179*(1+Control_Panel!$B$2)</f>
        <v>16.333333333333332</v>
      </c>
      <c r="P179" s="12">
        <f t="shared" si="39"/>
        <v>0.20408163265306123</v>
      </c>
      <c r="Q179" t="str" cm="1">
        <f t="array" ref="Q179">_xlfn.IFS(P179&lt;0.2,"Stable",P179&lt;=0.5,"Moderate",P179&gt;0.5,"Highly veriable")</f>
        <v>Moderate</v>
      </c>
      <c r="R179" s="1">
        <f t="shared" si="40"/>
        <v>412.31056256176606</v>
      </c>
      <c r="S179" s="1">
        <f t="shared" si="41"/>
        <v>445.64389589509938</v>
      </c>
      <c r="T179" s="1">
        <f t="shared" si="42"/>
        <v>290.35610410490062</v>
      </c>
      <c r="U179" t="str">
        <f t="shared" si="43"/>
        <v xml:space="preserve"> Risk</v>
      </c>
      <c r="V179">
        <f t="shared" si="44"/>
        <v>5880</v>
      </c>
      <c r="W179" s="9">
        <f t="shared" si="45"/>
        <v>1011301.2000000001</v>
      </c>
      <c r="Y179">
        <f t="shared" si="46"/>
        <v>2.2673393071905162E-3</v>
      </c>
      <c r="Z179" s="12">
        <f t="shared" si="56"/>
        <v>0.64393106718679005</v>
      </c>
      <c r="AA179" t="str">
        <f t="shared" si="47"/>
        <v>A</v>
      </c>
      <c r="AB179" t="str">
        <f t="shared" si="48"/>
        <v>Y</v>
      </c>
      <c r="AC179" t="str">
        <f t="shared" si="49"/>
        <v>AY</v>
      </c>
      <c r="AD179" t="str">
        <f t="shared" si="50"/>
        <v>Frequent Monitoring</v>
      </c>
      <c r="AE179" t="str">
        <f t="shared" si="51"/>
        <v>Every 2 Days</v>
      </c>
      <c r="AF179" t="str">
        <f t="shared" si="52"/>
        <v>Frequent Monitoring</v>
      </c>
      <c r="AG179" t="str">
        <f t="shared" si="53"/>
        <v>High</v>
      </c>
      <c r="AH179">
        <f t="shared" si="54"/>
        <v>60</v>
      </c>
      <c r="AI179" t="str">
        <f t="shared" si="55"/>
        <v>High</v>
      </c>
    </row>
    <row r="180" spans="1:35">
      <c r="A180" t="s">
        <v>127</v>
      </c>
      <c r="B180" t="s">
        <v>34</v>
      </c>
      <c r="C180" t="s">
        <v>22</v>
      </c>
      <c r="D180" t="s">
        <v>23</v>
      </c>
      <c r="E180">
        <v>767</v>
      </c>
      <c r="F180">
        <v>321</v>
      </c>
      <c r="G180">
        <v>12</v>
      </c>
      <c r="H180">
        <v>7</v>
      </c>
      <c r="I180">
        <v>262.39</v>
      </c>
      <c r="J180">
        <v>0.14000000000000001</v>
      </c>
      <c r="K180">
        <v>164</v>
      </c>
      <c r="L180">
        <v>0.94</v>
      </c>
      <c r="M180">
        <v>3</v>
      </c>
      <c r="N180" s="1">
        <f t="shared" si="38"/>
        <v>10.7</v>
      </c>
      <c r="O180" s="1">
        <f>N180*(1+Control_Panel!$B$2)</f>
        <v>10.7</v>
      </c>
      <c r="P180" s="12">
        <f t="shared" si="39"/>
        <v>3.7383177570093455E-2</v>
      </c>
      <c r="Q180" t="str" cm="1">
        <f t="array" ref="Q180">_xlfn.IFS(P180&lt;0.2,"Stable",P180&lt;=0.5,"Moderate",P180&gt;0.5,"Highly veriable")</f>
        <v>Stable</v>
      </c>
      <c r="R180" s="1">
        <f t="shared" si="40"/>
        <v>31.749015732775089</v>
      </c>
      <c r="S180" s="1">
        <f t="shared" si="41"/>
        <v>49.449015732775088</v>
      </c>
      <c r="T180" s="1">
        <f t="shared" si="42"/>
        <v>717.55098426722486</v>
      </c>
      <c r="U180" t="str">
        <f t="shared" si="43"/>
        <v xml:space="preserve"> Safe</v>
      </c>
      <c r="V180">
        <f t="shared" si="44"/>
        <v>3852</v>
      </c>
      <c r="W180" s="9">
        <f t="shared" si="45"/>
        <v>1010726.2799999999</v>
      </c>
      <c r="Y180">
        <f t="shared" si="46"/>
        <v>2.2660503354039801E-3</v>
      </c>
      <c r="Z180" s="12">
        <f t="shared" si="56"/>
        <v>0.646197117522194</v>
      </c>
      <c r="AA180" t="str">
        <f t="shared" si="47"/>
        <v>A</v>
      </c>
      <c r="AB180" t="str">
        <f t="shared" si="48"/>
        <v>X</v>
      </c>
      <c r="AC180" t="str">
        <f t="shared" si="49"/>
        <v>AX</v>
      </c>
      <c r="AD180" t="str">
        <f t="shared" si="50"/>
        <v>Strict Control</v>
      </c>
      <c r="AE180" t="str">
        <f t="shared" si="51"/>
        <v>Daily</v>
      </c>
      <c r="AF180" t="str">
        <f t="shared" si="52"/>
        <v>Strict Replenishment</v>
      </c>
      <c r="AG180" t="str">
        <f t="shared" si="53"/>
        <v>Low</v>
      </c>
      <c r="AH180">
        <f t="shared" si="54"/>
        <v>40</v>
      </c>
      <c r="AI180" t="str">
        <f t="shared" si="55"/>
        <v>Low</v>
      </c>
    </row>
    <row r="181" spans="1:35">
      <c r="A181" t="s">
        <v>501</v>
      </c>
      <c r="B181" t="s">
        <v>29</v>
      </c>
      <c r="C181" t="s">
        <v>22</v>
      </c>
      <c r="D181" t="s">
        <v>25</v>
      </c>
      <c r="E181">
        <v>827</v>
      </c>
      <c r="F181">
        <v>297</v>
      </c>
      <c r="G181">
        <v>11</v>
      </c>
      <c r="H181">
        <v>15</v>
      </c>
      <c r="I181">
        <v>282.77</v>
      </c>
      <c r="J181">
        <v>0.11</v>
      </c>
      <c r="K181">
        <v>204</v>
      </c>
      <c r="L181">
        <v>0.96</v>
      </c>
      <c r="M181">
        <v>10</v>
      </c>
      <c r="N181" s="1">
        <f t="shared" si="38"/>
        <v>9.9</v>
      </c>
      <c r="O181" s="1">
        <f>N181*(1+Control_Panel!$B$2)</f>
        <v>9.9</v>
      </c>
      <c r="P181" s="12">
        <f t="shared" si="39"/>
        <v>3.7037037037037035E-2</v>
      </c>
      <c r="Q181" t="str" cm="1">
        <f t="array" ref="Q181">_xlfn.IFS(P181&lt;0.2,"Stable",P181&lt;=0.5,"Moderate",P181&gt;0.5,"Highly veriable")</f>
        <v>Stable</v>
      </c>
      <c r="R181" s="1">
        <f t="shared" si="40"/>
        <v>42.602816808281588</v>
      </c>
      <c r="S181" s="1">
        <f t="shared" si="41"/>
        <v>67.50281680828158</v>
      </c>
      <c r="T181" s="1">
        <f t="shared" si="42"/>
        <v>759.49718319171848</v>
      </c>
      <c r="U181" t="str">
        <f t="shared" si="43"/>
        <v xml:space="preserve"> Safe</v>
      </c>
      <c r="V181">
        <f t="shared" si="44"/>
        <v>3564</v>
      </c>
      <c r="W181" s="9">
        <f t="shared" si="45"/>
        <v>1007792.2799999999</v>
      </c>
      <c r="Y181">
        <f t="shared" si="46"/>
        <v>2.2594723015528415E-3</v>
      </c>
      <c r="Z181" s="12">
        <f t="shared" si="56"/>
        <v>0.64845658982374688</v>
      </c>
      <c r="AA181" t="str">
        <f t="shared" si="47"/>
        <v>A</v>
      </c>
      <c r="AB181" t="str">
        <f t="shared" si="48"/>
        <v>X</v>
      </c>
      <c r="AC181" t="str">
        <f t="shared" si="49"/>
        <v>AX</v>
      </c>
      <c r="AD181" t="str">
        <f t="shared" si="50"/>
        <v>Strict Control</v>
      </c>
      <c r="AE181" t="str">
        <f t="shared" si="51"/>
        <v>Daily</v>
      </c>
      <c r="AF181" t="str">
        <f t="shared" si="52"/>
        <v>Strict Replenishment</v>
      </c>
      <c r="AG181" t="str">
        <f t="shared" si="53"/>
        <v>Low</v>
      </c>
      <c r="AH181">
        <f t="shared" si="54"/>
        <v>60</v>
      </c>
      <c r="AI181" t="str">
        <f t="shared" si="55"/>
        <v>High</v>
      </c>
    </row>
    <row r="182" spans="1:35">
      <c r="A182" t="s">
        <v>459</v>
      </c>
      <c r="B182" t="s">
        <v>18</v>
      </c>
      <c r="C182" t="s">
        <v>22</v>
      </c>
      <c r="D182" t="s">
        <v>19</v>
      </c>
      <c r="E182">
        <v>15</v>
      </c>
      <c r="F182">
        <v>179</v>
      </c>
      <c r="G182">
        <v>80</v>
      </c>
      <c r="H182">
        <v>1</v>
      </c>
      <c r="I182">
        <v>468.86</v>
      </c>
      <c r="J182">
        <v>0.23</v>
      </c>
      <c r="K182">
        <v>737</v>
      </c>
      <c r="L182">
        <v>0.83</v>
      </c>
      <c r="M182">
        <v>2</v>
      </c>
      <c r="N182" s="1">
        <f t="shared" si="38"/>
        <v>5.9666666666666668</v>
      </c>
      <c r="O182" s="1">
        <f>N182*(1+Control_Panel!$B$2)</f>
        <v>5.9666666666666668</v>
      </c>
      <c r="P182" s="12">
        <f t="shared" si="39"/>
        <v>0.44692737430167595</v>
      </c>
      <c r="Q182" t="str" cm="1">
        <f t="array" ref="Q182">_xlfn.IFS(P182&lt;0.2,"Stable",P182&lt;=0.5,"Moderate",P182&gt;0.5,"Highly veriable")</f>
        <v>Moderate</v>
      </c>
      <c r="R182" s="1">
        <f t="shared" si="40"/>
        <v>80</v>
      </c>
      <c r="S182" s="1">
        <f t="shared" si="41"/>
        <v>86.966666666666669</v>
      </c>
      <c r="T182" s="1">
        <f t="shared" si="42"/>
        <v>-71.966666666666669</v>
      </c>
      <c r="U182" t="str">
        <f t="shared" si="43"/>
        <v xml:space="preserve"> Need to Order</v>
      </c>
      <c r="V182">
        <f t="shared" si="44"/>
        <v>2148</v>
      </c>
      <c r="W182" s="9">
        <f t="shared" si="45"/>
        <v>1007111.28</v>
      </c>
      <c r="Y182">
        <f t="shared" si="46"/>
        <v>2.2579454981947553E-3</v>
      </c>
      <c r="Z182" s="12">
        <f t="shared" si="56"/>
        <v>0.65071453532194168</v>
      </c>
      <c r="AA182" t="str">
        <f t="shared" si="47"/>
        <v>A</v>
      </c>
      <c r="AB182" t="str">
        <f t="shared" si="48"/>
        <v>Y</v>
      </c>
      <c r="AC182" t="str">
        <f t="shared" si="49"/>
        <v>AY</v>
      </c>
      <c r="AD182" t="str">
        <f t="shared" si="50"/>
        <v>Frequent Monitoring</v>
      </c>
      <c r="AE182" t="str">
        <f t="shared" si="51"/>
        <v>Every 2 Days</v>
      </c>
      <c r="AF182" t="str">
        <f t="shared" si="52"/>
        <v>Frequent Monitoring</v>
      </c>
      <c r="AG182" t="str">
        <f t="shared" si="53"/>
        <v>High</v>
      </c>
      <c r="AH182">
        <f t="shared" si="54"/>
        <v>50</v>
      </c>
      <c r="AI182" t="str">
        <f t="shared" si="55"/>
        <v>Medium</v>
      </c>
    </row>
    <row r="183" spans="1:35">
      <c r="A183" t="s">
        <v>416</v>
      </c>
      <c r="B183" t="s">
        <v>21</v>
      </c>
      <c r="C183" t="s">
        <v>15</v>
      </c>
      <c r="D183" t="s">
        <v>25</v>
      </c>
      <c r="E183">
        <v>918</v>
      </c>
      <c r="F183">
        <v>209</v>
      </c>
      <c r="G183">
        <v>67</v>
      </c>
      <c r="H183">
        <v>26</v>
      </c>
      <c r="I183">
        <v>400.83</v>
      </c>
      <c r="J183">
        <v>0.08</v>
      </c>
      <c r="K183">
        <v>501</v>
      </c>
      <c r="L183">
        <v>0.86</v>
      </c>
      <c r="M183">
        <v>10</v>
      </c>
      <c r="N183" s="1">
        <f t="shared" si="38"/>
        <v>6.9666666666666668</v>
      </c>
      <c r="O183" s="1">
        <f>N183*(1+Control_Panel!$B$2)</f>
        <v>6.9666666666666668</v>
      </c>
      <c r="P183" s="12">
        <f t="shared" si="39"/>
        <v>0.32057416267942584</v>
      </c>
      <c r="Q183" t="str" cm="1">
        <f t="array" ref="Q183">_xlfn.IFS(P183&lt;0.2,"Stable",P183&lt;=0.5,"Moderate",P183&gt;0.5,"Highly veriable")</f>
        <v>Moderate</v>
      </c>
      <c r="R183" s="1">
        <f t="shared" si="40"/>
        <v>341.63430741071659</v>
      </c>
      <c r="S183" s="1">
        <f t="shared" si="41"/>
        <v>374.60097407738328</v>
      </c>
      <c r="T183" s="1">
        <f t="shared" si="42"/>
        <v>543.39902592261672</v>
      </c>
      <c r="U183" t="str">
        <f t="shared" si="43"/>
        <v xml:space="preserve"> Safe</v>
      </c>
      <c r="V183">
        <f t="shared" si="44"/>
        <v>2508</v>
      </c>
      <c r="W183" s="9">
        <f t="shared" si="45"/>
        <v>1005281.64</v>
      </c>
      <c r="Y183">
        <f t="shared" si="46"/>
        <v>2.2538434416659904E-3</v>
      </c>
      <c r="Z183" s="12">
        <f t="shared" si="56"/>
        <v>0.65296837876360769</v>
      </c>
      <c r="AA183" t="str">
        <f t="shared" si="47"/>
        <v>A</v>
      </c>
      <c r="AB183" t="str">
        <f t="shared" si="48"/>
        <v>Y</v>
      </c>
      <c r="AC183" t="str">
        <f t="shared" si="49"/>
        <v>AY</v>
      </c>
      <c r="AD183" t="str">
        <f t="shared" si="50"/>
        <v>Frequent Monitoring</v>
      </c>
      <c r="AE183" t="str">
        <f t="shared" si="51"/>
        <v>Every 2 Days</v>
      </c>
      <c r="AF183" t="str">
        <f t="shared" si="52"/>
        <v>Frequent Monitoring</v>
      </c>
      <c r="AG183" t="str">
        <f t="shared" si="53"/>
        <v>High</v>
      </c>
      <c r="AH183">
        <f t="shared" si="54"/>
        <v>70</v>
      </c>
      <c r="AI183" t="str">
        <f t="shared" si="55"/>
        <v>Critical</v>
      </c>
    </row>
    <row r="184" spans="1:35">
      <c r="A184" t="s">
        <v>443</v>
      </c>
      <c r="B184" t="s">
        <v>14</v>
      </c>
      <c r="C184" t="s">
        <v>22</v>
      </c>
      <c r="D184" t="s">
        <v>16</v>
      </c>
      <c r="E184">
        <v>176</v>
      </c>
      <c r="F184">
        <v>314</v>
      </c>
      <c r="G184">
        <v>34</v>
      </c>
      <c r="H184">
        <v>25</v>
      </c>
      <c r="I184">
        <v>264.92</v>
      </c>
      <c r="J184">
        <v>0.17</v>
      </c>
      <c r="K184">
        <v>959</v>
      </c>
      <c r="L184">
        <v>0.81</v>
      </c>
      <c r="M184">
        <v>10</v>
      </c>
      <c r="N184" s="1">
        <f t="shared" si="38"/>
        <v>10.466666666666667</v>
      </c>
      <c r="O184" s="1">
        <f>N184*(1+Control_Panel!$B$2)</f>
        <v>10.466666666666667</v>
      </c>
      <c r="P184" s="12">
        <f t="shared" si="39"/>
        <v>0.10828025477707007</v>
      </c>
      <c r="Q184" t="str" cm="1">
        <f t="array" ref="Q184">_xlfn.IFS(P184&lt;0.2,"Stable",P184&lt;=0.5,"Moderate",P184&gt;0.5,"Highly veriable")</f>
        <v>Stable</v>
      </c>
      <c r="R184" s="1">
        <f t="shared" si="40"/>
        <v>170</v>
      </c>
      <c r="S184" s="1">
        <f t="shared" si="41"/>
        <v>205.46666666666667</v>
      </c>
      <c r="T184" s="1">
        <f t="shared" si="42"/>
        <v>-29.466666666666669</v>
      </c>
      <c r="U184" t="str">
        <f t="shared" si="43"/>
        <v xml:space="preserve"> Need to Order</v>
      </c>
      <c r="V184">
        <f t="shared" si="44"/>
        <v>3768</v>
      </c>
      <c r="W184" s="9">
        <f t="shared" si="45"/>
        <v>998218.56</v>
      </c>
      <c r="Y184">
        <f t="shared" si="46"/>
        <v>2.2380080022204214E-3</v>
      </c>
      <c r="Z184" s="12">
        <f t="shared" si="56"/>
        <v>0.6552063867658281</v>
      </c>
      <c r="AA184" t="str">
        <f t="shared" si="47"/>
        <v>A</v>
      </c>
      <c r="AB184" t="str">
        <f t="shared" si="48"/>
        <v>X</v>
      </c>
      <c r="AC184" t="str">
        <f t="shared" si="49"/>
        <v>AX</v>
      </c>
      <c r="AD184" t="str">
        <f t="shared" si="50"/>
        <v>Strict Control</v>
      </c>
      <c r="AE184" t="str">
        <f t="shared" si="51"/>
        <v>Daily</v>
      </c>
      <c r="AF184" t="str">
        <f t="shared" si="52"/>
        <v>Strict Replenishment</v>
      </c>
      <c r="AG184" t="str">
        <f t="shared" si="53"/>
        <v>Low</v>
      </c>
      <c r="AH184">
        <f t="shared" si="54"/>
        <v>60</v>
      </c>
      <c r="AI184" t="str">
        <f t="shared" si="55"/>
        <v>High</v>
      </c>
    </row>
    <row r="185" spans="1:35">
      <c r="A185" t="s">
        <v>381</v>
      </c>
      <c r="B185" t="s">
        <v>36</v>
      </c>
      <c r="C185" t="s">
        <v>15</v>
      </c>
      <c r="D185" t="s">
        <v>25</v>
      </c>
      <c r="E185">
        <v>151</v>
      </c>
      <c r="F185">
        <v>172</v>
      </c>
      <c r="G185">
        <v>30</v>
      </c>
      <c r="H185">
        <v>8</v>
      </c>
      <c r="I185">
        <v>482.84</v>
      </c>
      <c r="J185">
        <v>0.21</v>
      </c>
      <c r="K185">
        <v>901</v>
      </c>
      <c r="L185">
        <v>0.95</v>
      </c>
      <c r="M185">
        <v>8</v>
      </c>
      <c r="N185" s="1">
        <f t="shared" si="38"/>
        <v>5.7333333333333334</v>
      </c>
      <c r="O185" s="1">
        <f>N185*(1+Control_Panel!$B$2)</f>
        <v>5.7333333333333334</v>
      </c>
      <c r="P185" s="12">
        <f t="shared" si="39"/>
        <v>0.1744186046511628</v>
      </c>
      <c r="Q185" t="str" cm="1">
        <f t="array" ref="Q185">_xlfn.IFS(P185&lt;0.2,"Stable",P185&lt;=0.5,"Moderate",P185&gt;0.5,"Highly veriable")</f>
        <v>Stable</v>
      </c>
      <c r="R185" s="1">
        <f t="shared" si="40"/>
        <v>84.852813742385706</v>
      </c>
      <c r="S185" s="1">
        <f t="shared" si="41"/>
        <v>98.58614707571904</v>
      </c>
      <c r="T185" s="1">
        <f t="shared" si="42"/>
        <v>52.41385292428096</v>
      </c>
      <c r="U185" t="str">
        <f t="shared" si="43"/>
        <v xml:space="preserve"> Risk</v>
      </c>
      <c r="V185">
        <f t="shared" si="44"/>
        <v>2064</v>
      </c>
      <c r="W185" s="9">
        <f t="shared" si="45"/>
        <v>996581.75999999989</v>
      </c>
      <c r="Y185">
        <f t="shared" si="46"/>
        <v>2.2343382933562275E-3</v>
      </c>
      <c r="Z185" s="12">
        <f t="shared" si="56"/>
        <v>0.65744072505918427</v>
      </c>
      <c r="AA185" t="str">
        <f t="shared" si="47"/>
        <v>A</v>
      </c>
      <c r="AB185" t="str">
        <f t="shared" si="48"/>
        <v>X</v>
      </c>
      <c r="AC185" t="str">
        <f t="shared" si="49"/>
        <v>AX</v>
      </c>
      <c r="AD185" t="str">
        <f t="shared" si="50"/>
        <v>Strict Control</v>
      </c>
      <c r="AE185" t="str">
        <f t="shared" si="51"/>
        <v>Daily</v>
      </c>
      <c r="AF185" t="str">
        <f t="shared" si="52"/>
        <v>Strict Replenishment</v>
      </c>
      <c r="AG185" t="str">
        <f t="shared" si="53"/>
        <v>Low</v>
      </c>
      <c r="AH185">
        <f t="shared" si="54"/>
        <v>60</v>
      </c>
      <c r="AI185" t="str">
        <f t="shared" si="55"/>
        <v>High</v>
      </c>
    </row>
    <row r="186" spans="1:35">
      <c r="A186" t="s">
        <v>232</v>
      </c>
      <c r="B186" t="s">
        <v>21</v>
      </c>
      <c r="C186" t="s">
        <v>15</v>
      </c>
      <c r="D186" t="s">
        <v>41</v>
      </c>
      <c r="E186">
        <v>428</v>
      </c>
      <c r="F186">
        <v>495</v>
      </c>
      <c r="G186">
        <v>86</v>
      </c>
      <c r="H186">
        <v>29</v>
      </c>
      <c r="I186">
        <v>167.17</v>
      </c>
      <c r="J186">
        <v>0.12</v>
      </c>
      <c r="K186">
        <v>120</v>
      </c>
      <c r="L186">
        <v>0.93</v>
      </c>
      <c r="M186">
        <v>2</v>
      </c>
      <c r="N186" s="1">
        <f t="shared" si="38"/>
        <v>16.5</v>
      </c>
      <c r="O186" s="1">
        <f>N186*(1+Control_Panel!$B$2)</f>
        <v>16.5</v>
      </c>
      <c r="P186" s="12">
        <f t="shared" si="39"/>
        <v>0.17373737373737375</v>
      </c>
      <c r="Q186" t="str" cm="1">
        <f t="array" ref="Q186">_xlfn.IFS(P186&lt;0.2,"Stable",P186&lt;=0.5,"Moderate",P186&gt;0.5,"Highly veriable")</f>
        <v>Stable</v>
      </c>
      <c r="R186" s="1">
        <f t="shared" si="40"/>
        <v>463.12417341356735</v>
      </c>
      <c r="S186" s="1">
        <f t="shared" si="41"/>
        <v>508.62417341356735</v>
      </c>
      <c r="T186" s="1">
        <f t="shared" si="42"/>
        <v>-80.624173413567348</v>
      </c>
      <c r="U186" t="str">
        <f t="shared" si="43"/>
        <v xml:space="preserve"> Need to Order</v>
      </c>
      <c r="V186">
        <f t="shared" si="44"/>
        <v>5940</v>
      </c>
      <c r="W186" s="9">
        <f t="shared" si="45"/>
        <v>992989.79999999993</v>
      </c>
      <c r="Y186">
        <f t="shared" si="46"/>
        <v>2.2262851118729507E-3</v>
      </c>
      <c r="Z186" s="12">
        <f t="shared" si="56"/>
        <v>0.65966701017105722</v>
      </c>
      <c r="AA186" t="str">
        <f t="shared" si="47"/>
        <v>A</v>
      </c>
      <c r="AB186" t="str">
        <f t="shared" si="48"/>
        <v>X</v>
      </c>
      <c r="AC186" t="str">
        <f t="shared" si="49"/>
        <v>AX</v>
      </c>
      <c r="AD186" t="str">
        <f t="shared" si="50"/>
        <v>Strict Control</v>
      </c>
      <c r="AE186" t="str">
        <f t="shared" si="51"/>
        <v>Daily</v>
      </c>
      <c r="AF186" t="str">
        <f t="shared" si="52"/>
        <v>Strict Replenishment</v>
      </c>
      <c r="AG186" t="str">
        <f t="shared" si="53"/>
        <v>Low</v>
      </c>
      <c r="AH186">
        <f t="shared" si="54"/>
        <v>40</v>
      </c>
      <c r="AI186" t="str">
        <f t="shared" si="55"/>
        <v>Low</v>
      </c>
    </row>
    <row r="187" spans="1:35">
      <c r="A187" t="s">
        <v>505</v>
      </c>
      <c r="B187" t="s">
        <v>14</v>
      </c>
      <c r="C187" t="s">
        <v>22</v>
      </c>
      <c r="D187" t="s">
        <v>23</v>
      </c>
      <c r="E187">
        <v>674</v>
      </c>
      <c r="F187">
        <v>224</v>
      </c>
      <c r="G187">
        <v>81</v>
      </c>
      <c r="H187">
        <v>19</v>
      </c>
      <c r="I187">
        <v>369.02</v>
      </c>
      <c r="J187">
        <v>0.25</v>
      </c>
      <c r="K187">
        <v>178</v>
      </c>
      <c r="L187">
        <v>0.86</v>
      </c>
      <c r="M187">
        <v>8</v>
      </c>
      <c r="N187" s="1">
        <f t="shared" si="38"/>
        <v>7.4666666666666668</v>
      </c>
      <c r="O187" s="1">
        <f>N187*(1+Control_Panel!$B$2)</f>
        <v>7.4666666666666668</v>
      </c>
      <c r="P187" s="12">
        <f t="shared" si="39"/>
        <v>0.36160714285714285</v>
      </c>
      <c r="Q187" t="str" cm="1">
        <f t="array" ref="Q187">_xlfn.IFS(P187&lt;0.2,"Stable",P187&lt;=0.5,"Moderate",P187&gt;0.5,"Highly veriable")</f>
        <v>Moderate</v>
      </c>
      <c r="R187" s="1">
        <f t="shared" si="40"/>
        <v>353.07081442679458</v>
      </c>
      <c r="S187" s="1">
        <f t="shared" si="41"/>
        <v>379.53748109346122</v>
      </c>
      <c r="T187" s="1">
        <f t="shared" si="42"/>
        <v>294.46251890653878</v>
      </c>
      <c r="U187" t="str">
        <f t="shared" si="43"/>
        <v xml:space="preserve"> Risk</v>
      </c>
      <c r="V187">
        <f t="shared" si="44"/>
        <v>2688</v>
      </c>
      <c r="W187" s="9">
        <f t="shared" si="45"/>
        <v>991925.76000000001</v>
      </c>
      <c r="Y187">
        <f t="shared" si="46"/>
        <v>2.2238995320709859E-3</v>
      </c>
      <c r="Z187" s="12">
        <f t="shared" si="56"/>
        <v>0.66189090970312825</v>
      </c>
      <c r="AA187" t="str">
        <f t="shared" si="47"/>
        <v>A</v>
      </c>
      <c r="AB187" t="str">
        <f t="shared" si="48"/>
        <v>Y</v>
      </c>
      <c r="AC187" t="str">
        <f t="shared" si="49"/>
        <v>AY</v>
      </c>
      <c r="AD187" t="str">
        <f t="shared" si="50"/>
        <v>Frequent Monitoring</v>
      </c>
      <c r="AE187" t="str">
        <f t="shared" si="51"/>
        <v>Every 2 Days</v>
      </c>
      <c r="AF187" t="str">
        <f t="shared" si="52"/>
        <v>Frequent Monitoring</v>
      </c>
      <c r="AG187" t="str">
        <f t="shared" si="53"/>
        <v>High</v>
      </c>
      <c r="AH187">
        <f t="shared" si="54"/>
        <v>70</v>
      </c>
      <c r="AI187" t="str">
        <f t="shared" si="55"/>
        <v>Critical</v>
      </c>
    </row>
    <row r="188" spans="1:35">
      <c r="A188" t="s">
        <v>379</v>
      </c>
      <c r="B188" t="s">
        <v>18</v>
      </c>
      <c r="C188" t="s">
        <v>22</v>
      </c>
      <c r="D188" t="s">
        <v>16</v>
      </c>
      <c r="E188">
        <v>464</v>
      </c>
      <c r="F188">
        <v>243</v>
      </c>
      <c r="G188">
        <v>23</v>
      </c>
      <c r="H188">
        <v>7</v>
      </c>
      <c r="I188">
        <v>339.93</v>
      </c>
      <c r="J188">
        <v>0.24</v>
      </c>
      <c r="K188">
        <v>970</v>
      </c>
      <c r="L188">
        <v>0.91</v>
      </c>
      <c r="M188">
        <v>5</v>
      </c>
      <c r="N188" s="1">
        <f t="shared" si="38"/>
        <v>8.1</v>
      </c>
      <c r="O188" s="1">
        <f>N188*(1+Control_Panel!$B$2)</f>
        <v>8.1</v>
      </c>
      <c r="P188" s="12">
        <f t="shared" si="39"/>
        <v>9.4650205761316872E-2</v>
      </c>
      <c r="Q188" t="str" cm="1">
        <f t="array" ref="Q188">_xlfn.IFS(P188&lt;0.2,"Stable",P188&lt;=0.5,"Moderate",P188&gt;0.5,"Highly veriable")</f>
        <v>Stable</v>
      </c>
      <c r="R188" s="1">
        <f t="shared" si="40"/>
        <v>60.852280154485584</v>
      </c>
      <c r="S188" s="1">
        <f t="shared" si="41"/>
        <v>75.952280154485578</v>
      </c>
      <c r="T188" s="1">
        <f t="shared" si="42"/>
        <v>388.04771984551439</v>
      </c>
      <c r="U188" t="str">
        <f t="shared" si="43"/>
        <v xml:space="preserve"> Safe</v>
      </c>
      <c r="V188">
        <f t="shared" si="44"/>
        <v>2916</v>
      </c>
      <c r="W188" s="9">
        <f t="shared" si="45"/>
        <v>991235.88</v>
      </c>
      <c r="Y188">
        <f t="shared" si="46"/>
        <v>2.2223528197351902E-3</v>
      </c>
      <c r="Z188" s="12">
        <f t="shared" si="56"/>
        <v>0.6641132625228634</v>
      </c>
      <c r="AA188" t="str">
        <f t="shared" si="47"/>
        <v>A</v>
      </c>
      <c r="AB188" t="str">
        <f t="shared" si="48"/>
        <v>X</v>
      </c>
      <c r="AC188" t="str">
        <f t="shared" si="49"/>
        <v>AX</v>
      </c>
      <c r="AD188" t="str">
        <f t="shared" si="50"/>
        <v>Strict Control</v>
      </c>
      <c r="AE188" t="str">
        <f t="shared" si="51"/>
        <v>Daily</v>
      </c>
      <c r="AF188" t="str">
        <f t="shared" si="52"/>
        <v>Strict Replenishment</v>
      </c>
      <c r="AG188" t="str">
        <f t="shared" si="53"/>
        <v>Low</v>
      </c>
      <c r="AH188">
        <f t="shared" si="54"/>
        <v>50</v>
      </c>
      <c r="AI188" t="str">
        <f t="shared" si="55"/>
        <v>Medium</v>
      </c>
    </row>
    <row r="189" spans="1:35">
      <c r="A189" t="s">
        <v>209</v>
      </c>
      <c r="B189" t="s">
        <v>18</v>
      </c>
      <c r="C189" t="s">
        <v>15</v>
      </c>
      <c r="D189" t="s">
        <v>19</v>
      </c>
      <c r="E189">
        <v>661</v>
      </c>
      <c r="F189">
        <v>280</v>
      </c>
      <c r="G189">
        <v>30</v>
      </c>
      <c r="H189">
        <v>15</v>
      </c>
      <c r="I189">
        <v>294.16000000000003</v>
      </c>
      <c r="J189">
        <v>0.11</v>
      </c>
      <c r="K189">
        <v>768</v>
      </c>
      <c r="L189">
        <v>0.85</v>
      </c>
      <c r="M189">
        <v>10</v>
      </c>
      <c r="N189" s="1">
        <f t="shared" si="38"/>
        <v>9.3333333333333339</v>
      </c>
      <c r="O189" s="1">
        <f>N189*(1+Control_Panel!$B$2)</f>
        <v>9.3333333333333339</v>
      </c>
      <c r="P189" s="12">
        <f t="shared" si="39"/>
        <v>0.10714285714285714</v>
      </c>
      <c r="Q189" t="str" cm="1">
        <f t="array" ref="Q189">_xlfn.IFS(P189&lt;0.2,"Stable",P189&lt;=0.5,"Moderate",P189&gt;0.5,"Highly veriable")</f>
        <v>Stable</v>
      </c>
      <c r="R189" s="1">
        <f t="shared" si="40"/>
        <v>116.18950038622251</v>
      </c>
      <c r="S189" s="1">
        <f t="shared" si="41"/>
        <v>140.52283371955585</v>
      </c>
      <c r="T189" s="1">
        <f t="shared" si="42"/>
        <v>520.47716628044418</v>
      </c>
      <c r="U189" t="str">
        <f t="shared" si="43"/>
        <v xml:space="preserve"> Safe</v>
      </c>
      <c r="V189">
        <f t="shared" si="44"/>
        <v>3360</v>
      </c>
      <c r="W189" s="9">
        <f t="shared" si="45"/>
        <v>988377.60000000009</v>
      </c>
      <c r="Y189">
        <f t="shared" si="46"/>
        <v>2.2159445502750569E-3</v>
      </c>
      <c r="Z189" s="12">
        <f t="shared" si="56"/>
        <v>0.66632920707313847</v>
      </c>
      <c r="AA189" t="str">
        <f t="shared" si="47"/>
        <v>A</v>
      </c>
      <c r="AB189" t="str">
        <f t="shared" si="48"/>
        <v>X</v>
      </c>
      <c r="AC189" t="str">
        <f t="shared" si="49"/>
        <v>AX</v>
      </c>
      <c r="AD189" t="str">
        <f t="shared" si="50"/>
        <v>Strict Control</v>
      </c>
      <c r="AE189" t="str">
        <f t="shared" si="51"/>
        <v>Daily</v>
      </c>
      <c r="AF189" t="str">
        <f t="shared" si="52"/>
        <v>Strict Replenishment</v>
      </c>
      <c r="AG189" t="str">
        <f t="shared" si="53"/>
        <v>Low</v>
      </c>
      <c r="AH189">
        <f t="shared" si="54"/>
        <v>60</v>
      </c>
      <c r="AI189" t="str">
        <f t="shared" si="55"/>
        <v>High</v>
      </c>
    </row>
    <row r="190" spans="1:35">
      <c r="A190" t="s">
        <v>122</v>
      </c>
      <c r="B190" t="s">
        <v>18</v>
      </c>
      <c r="C190" t="s">
        <v>22</v>
      </c>
      <c r="D190" t="s">
        <v>23</v>
      </c>
      <c r="E190">
        <v>332</v>
      </c>
      <c r="F190">
        <v>389</v>
      </c>
      <c r="G190">
        <v>50</v>
      </c>
      <c r="H190">
        <v>7</v>
      </c>
      <c r="I190">
        <v>210.09</v>
      </c>
      <c r="J190">
        <v>0.09</v>
      </c>
      <c r="K190">
        <v>607</v>
      </c>
      <c r="L190">
        <v>0.96</v>
      </c>
      <c r="M190">
        <v>8</v>
      </c>
      <c r="N190" s="1">
        <f t="shared" si="38"/>
        <v>12.966666666666667</v>
      </c>
      <c r="O190" s="1">
        <f>N190*(1+Control_Panel!$B$2)</f>
        <v>12.966666666666667</v>
      </c>
      <c r="P190" s="12">
        <f t="shared" si="39"/>
        <v>0.12853470437017994</v>
      </c>
      <c r="Q190" t="str" cm="1">
        <f t="array" ref="Q190">_xlfn.IFS(P190&lt;0.2,"Stable",P190&lt;=0.5,"Moderate",P190&gt;0.5,"Highly veriable")</f>
        <v>Stable</v>
      </c>
      <c r="R190" s="1">
        <f t="shared" si="40"/>
        <v>132.28756555322954</v>
      </c>
      <c r="S190" s="1">
        <f t="shared" si="41"/>
        <v>152.25423221989621</v>
      </c>
      <c r="T190" s="1">
        <f t="shared" si="42"/>
        <v>179.74576778010379</v>
      </c>
      <c r="U190" t="str">
        <f t="shared" si="43"/>
        <v xml:space="preserve"> Safe</v>
      </c>
      <c r="V190">
        <f t="shared" si="44"/>
        <v>4668</v>
      </c>
      <c r="W190" s="9">
        <f t="shared" si="45"/>
        <v>980700.12</v>
      </c>
      <c r="Y190">
        <f t="shared" si="46"/>
        <v>2.1987316248042186E-3</v>
      </c>
      <c r="Z190" s="12">
        <f t="shared" si="56"/>
        <v>0.66852793869794269</v>
      </c>
      <c r="AA190" t="str">
        <f t="shared" si="47"/>
        <v>A</v>
      </c>
      <c r="AB190" t="str">
        <f t="shared" si="48"/>
        <v>X</v>
      </c>
      <c r="AC190" t="str">
        <f t="shared" si="49"/>
        <v>AX</v>
      </c>
      <c r="AD190" t="str">
        <f t="shared" si="50"/>
        <v>Strict Control</v>
      </c>
      <c r="AE190" t="str">
        <f t="shared" si="51"/>
        <v>Daily</v>
      </c>
      <c r="AF190" t="str">
        <f t="shared" si="52"/>
        <v>Strict Replenishment</v>
      </c>
      <c r="AG190" t="str">
        <f t="shared" si="53"/>
        <v>Low</v>
      </c>
      <c r="AH190">
        <f t="shared" si="54"/>
        <v>60</v>
      </c>
      <c r="AI190" t="str">
        <f t="shared" si="55"/>
        <v>High</v>
      </c>
    </row>
    <row r="191" spans="1:35">
      <c r="A191" t="s">
        <v>237</v>
      </c>
      <c r="B191" t="s">
        <v>14</v>
      </c>
      <c r="C191" t="s">
        <v>22</v>
      </c>
      <c r="D191" t="s">
        <v>23</v>
      </c>
      <c r="E191">
        <v>43</v>
      </c>
      <c r="F191">
        <v>237</v>
      </c>
      <c r="G191">
        <v>94</v>
      </c>
      <c r="H191">
        <v>10</v>
      </c>
      <c r="I191">
        <v>344.35</v>
      </c>
      <c r="J191">
        <v>7.0000000000000007E-2</v>
      </c>
      <c r="K191">
        <v>894</v>
      </c>
      <c r="L191">
        <v>0.96</v>
      </c>
      <c r="M191">
        <v>1</v>
      </c>
      <c r="N191" s="1">
        <f t="shared" si="38"/>
        <v>7.9</v>
      </c>
      <c r="O191" s="1">
        <f>N191*(1+Control_Panel!$B$2)</f>
        <v>7.9</v>
      </c>
      <c r="P191" s="12">
        <f t="shared" si="39"/>
        <v>0.39662447257383965</v>
      </c>
      <c r="Q191" t="str" cm="1">
        <f t="array" ref="Q191">_xlfn.IFS(P191&lt;0.2,"Stable",P191&lt;=0.5,"Moderate",P191&gt;0.5,"Highly veriable")</f>
        <v>Moderate</v>
      </c>
      <c r="R191" s="1">
        <f t="shared" si="40"/>
        <v>297.25410005582768</v>
      </c>
      <c r="S191" s="1">
        <f t="shared" si="41"/>
        <v>315.15410005582766</v>
      </c>
      <c r="T191" s="1">
        <f t="shared" si="42"/>
        <v>-272.15410005582766</v>
      </c>
      <c r="U191" t="str">
        <f t="shared" si="43"/>
        <v xml:space="preserve"> Need to Order</v>
      </c>
      <c r="V191">
        <f t="shared" si="44"/>
        <v>2844</v>
      </c>
      <c r="W191" s="9">
        <f t="shared" si="45"/>
        <v>979331.4</v>
      </c>
      <c r="Y191">
        <f t="shared" si="46"/>
        <v>2.1956629518346447E-3</v>
      </c>
      <c r="Z191" s="12">
        <f t="shared" si="56"/>
        <v>0.67072360164977729</v>
      </c>
      <c r="AA191" t="str">
        <f t="shared" si="47"/>
        <v>A</v>
      </c>
      <c r="AB191" t="str">
        <f t="shared" si="48"/>
        <v>Y</v>
      </c>
      <c r="AC191" t="str">
        <f t="shared" si="49"/>
        <v>AY</v>
      </c>
      <c r="AD191" t="str">
        <f t="shared" si="50"/>
        <v>Frequent Monitoring</v>
      </c>
      <c r="AE191" t="str">
        <f t="shared" si="51"/>
        <v>Every 2 Days</v>
      </c>
      <c r="AF191" t="str">
        <f t="shared" si="52"/>
        <v>Frequent Monitoring</v>
      </c>
      <c r="AG191" t="str">
        <f t="shared" si="53"/>
        <v>High</v>
      </c>
      <c r="AH191">
        <f t="shared" si="54"/>
        <v>50</v>
      </c>
      <c r="AI191" t="str">
        <f t="shared" si="55"/>
        <v>Medium</v>
      </c>
    </row>
    <row r="192" spans="1:35">
      <c r="A192" t="s">
        <v>287</v>
      </c>
      <c r="B192" t="s">
        <v>29</v>
      </c>
      <c r="C192" t="s">
        <v>15</v>
      </c>
      <c r="D192" t="s">
        <v>16</v>
      </c>
      <c r="E192">
        <v>641</v>
      </c>
      <c r="F192">
        <v>184</v>
      </c>
      <c r="G192">
        <v>56</v>
      </c>
      <c r="H192">
        <v>19</v>
      </c>
      <c r="I192">
        <v>442.98</v>
      </c>
      <c r="J192">
        <v>0.21</v>
      </c>
      <c r="K192">
        <v>999</v>
      </c>
      <c r="L192">
        <v>0.86</v>
      </c>
      <c r="M192">
        <v>1</v>
      </c>
      <c r="N192" s="1">
        <f t="shared" si="38"/>
        <v>6.1333333333333337</v>
      </c>
      <c r="O192" s="1">
        <f>N192*(1+Control_Panel!$B$2)</f>
        <v>6.1333333333333337</v>
      </c>
      <c r="P192" s="12">
        <f t="shared" si="39"/>
        <v>0.30434782608695654</v>
      </c>
      <c r="Q192" t="str" cm="1">
        <f t="array" ref="Q192">_xlfn.IFS(P192&lt;0.2,"Stable",P192&lt;=0.5,"Moderate",P192&gt;0.5,"Highly veriable")</f>
        <v>Moderate</v>
      </c>
      <c r="R192" s="1">
        <f t="shared" si="40"/>
        <v>244.09834083827775</v>
      </c>
      <c r="S192" s="1">
        <f t="shared" si="41"/>
        <v>269.23167417161108</v>
      </c>
      <c r="T192" s="1">
        <f t="shared" si="42"/>
        <v>371.76832582838892</v>
      </c>
      <c r="U192" t="str">
        <f t="shared" si="43"/>
        <v xml:space="preserve"> Safe</v>
      </c>
      <c r="V192">
        <f t="shared" si="44"/>
        <v>2208</v>
      </c>
      <c r="W192" s="9">
        <f t="shared" si="45"/>
        <v>978099.84000000008</v>
      </c>
      <c r="Y192">
        <f t="shared" si="46"/>
        <v>2.1929017918586027E-3</v>
      </c>
      <c r="Z192" s="12">
        <f t="shared" si="56"/>
        <v>0.67291650344163589</v>
      </c>
      <c r="AA192" t="str">
        <f t="shared" si="47"/>
        <v>A</v>
      </c>
      <c r="AB192" t="str">
        <f t="shared" si="48"/>
        <v>Y</v>
      </c>
      <c r="AC192" t="str">
        <f t="shared" si="49"/>
        <v>AY</v>
      </c>
      <c r="AD192" t="str">
        <f t="shared" si="50"/>
        <v>Frequent Monitoring</v>
      </c>
      <c r="AE192" t="str">
        <f t="shared" si="51"/>
        <v>Every 2 Days</v>
      </c>
      <c r="AF192" t="str">
        <f t="shared" si="52"/>
        <v>Frequent Monitoring</v>
      </c>
      <c r="AG192" t="str">
        <f t="shared" si="53"/>
        <v>High</v>
      </c>
      <c r="AH192">
        <f t="shared" si="54"/>
        <v>50</v>
      </c>
      <c r="AI192" t="str">
        <f t="shared" si="55"/>
        <v>Medium</v>
      </c>
    </row>
    <row r="193" spans="1:35">
      <c r="A193" t="s">
        <v>319</v>
      </c>
      <c r="B193" t="s">
        <v>34</v>
      </c>
      <c r="C193" t="s">
        <v>15</v>
      </c>
      <c r="D193" t="s">
        <v>25</v>
      </c>
      <c r="E193">
        <v>82</v>
      </c>
      <c r="F193">
        <v>485</v>
      </c>
      <c r="G193">
        <v>100</v>
      </c>
      <c r="H193">
        <v>4</v>
      </c>
      <c r="I193">
        <v>167.46</v>
      </c>
      <c r="J193">
        <v>0.22</v>
      </c>
      <c r="K193">
        <v>615</v>
      </c>
      <c r="L193">
        <v>0.93</v>
      </c>
      <c r="M193">
        <v>3</v>
      </c>
      <c r="N193" s="1">
        <f t="shared" si="38"/>
        <v>16.166666666666668</v>
      </c>
      <c r="O193" s="1">
        <f>N193*(1+Control_Panel!$B$2)</f>
        <v>16.166666666666668</v>
      </c>
      <c r="P193" s="12">
        <f t="shared" si="39"/>
        <v>0.20618556701030927</v>
      </c>
      <c r="Q193" t="str" cm="1">
        <f t="array" ref="Q193">_xlfn.IFS(P193&lt;0.2,"Stable",P193&lt;=0.5,"Moderate",P193&gt;0.5,"Highly veriable")</f>
        <v>Moderate</v>
      </c>
      <c r="R193" s="1">
        <f t="shared" si="40"/>
        <v>200</v>
      </c>
      <c r="S193" s="1">
        <f t="shared" si="41"/>
        <v>220.16666666666666</v>
      </c>
      <c r="T193" s="1">
        <f t="shared" si="42"/>
        <v>-138.16666666666666</v>
      </c>
      <c r="U193" t="str">
        <f t="shared" si="43"/>
        <v xml:space="preserve"> Need to Order</v>
      </c>
      <c r="V193">
        <f t="shared" si="44"/>
        <v>5820</v>
      </c>
      <c r="W193" s="9">
        <f t="shared" si="45"/>
        <v>974617.20000000007</v>
      </c>
      <c r="Y193">
        <f t="shared" si="46"/>
        <v>2.1850937060333372E-3</v>
      </c>
      <c r="Z193" s="12">
        <f t="shared" si="56"/>
        <v>0.67510159714766926</v>
      </c>
      <c r="AA193" t="str">
        <f t="shared" si="47"/>
        <v>A</v>
      </c>
      <c r="AB193" t="str">
        <f t="shared" si="48"/>
        <v>Y</v>
      </c>
      <c r="AC193" t="str">
        <f t="shared" si="49"/>
        <v>AY</v>
      </c>
      <c r="AD193" t="str">
        <f t="shared" si="50"/>
        <v>Frequent Monitoring</v>
      </c>
      <c r="AE193" t="str">
        <f t="shared" si="51"/>
        <v>Every 2 Days</v>
      </c>
      <c r="AF193" t="str">
        <f t="shared" si="52"/>
        <v>Frequent Monitoring</v>
      </c>
      <c r="AG193" t="str">
        <f t="shared" si="53"/>
        <v>High</v>
      </c>
      <c r="AH193">
        <f t="shared" si="54"/>
        <v>50</v>
      </c>
      <c r="AI193" t="str">
        <f t="shared" si="55"/>
        <v>Medium</v>
      </c>
    </row>
    <row r="194" spans="1:35">
      <c r="A194" t="s">
        <v>246</v>
      </c>
      <c r="B194" t="s">
        <v>40</v>
      </c>
      <c r="C194" t="s">
        <v>22</v>
      </c>
      <c r="D194" t="s">
        <v>25</v>
      </c>
      <c r="E194">
        <v>760</v>
      </c>
      <c r="F194">
        <v>327</v>
      </c>
      <c r="G194">
        <v>70</v>
      </c>
      <c r="H194">
        <v>15</v>
      </c>
      <c r="I194">
        <v>248.21</v>
      </c>
      <c r="J194">
        <v>0.05</v>
      </c>
      <c r="K194">
        <v>734</v>
      </c>
      <c r="L194">
        <v>0.91</v>
      </c>
      <c r="M194">
        <v>5</v>
      </c>
      <c r="N194" s="1">
        <f t="shared" ref="N194:N257" si="57">F194/30</f>
        <v>10.9</v>
      </c>
      <c r="O194" s="1">
        <f>N194*(1+Control_Panel!$B$2)</f>
        <v>10.9</v>
      </c>
      <c r="P194" s="12">
        <f t="shared" ref="P194:P257" si="58">G194/F194</f>
        <v>0.21406727828746178</v>
      </c>
      <c r="Q194" t="str" cm="1">
        <f t="array" ref="Q194">_xlfn.IFS(P194&lt;0.2,"Stable",P194&lt;=0.5,"Moderate",P194&gt;0.5,"Highly veriable")</f>
        <v>Moderate</v>
      </c>
      <c r="R194" s="1">
        <f t="shared" ref="R194:R257" si="59">G194*SQRT(H194)</f>
        <v>271.10883423451918</v>
      </c>
      <c r="S194" s="1">
        <f t="shared" ref="S194:S257" si="60">O194+H194+R194</f>
        <v>297.00883423451916</v>
      </c>
      <c r="T194" s="1">
        <f t="shared" ref="T194:T257" si="61">E194-S194</f>
        <v>462.99116576548084</v>
      </c>
      <c r="U194" t="str">
        <f t="shared" ref="U194:U257" si="62">IF(T194&lt;0," Need to Order",
   IF(T194&lt;=R194," Risk",
      " Safe"))</f>
        <v xml:space="preserve"> Safe</v>
      </c>
      <c r="V194">
        <f t="shared" ref="V194:V257" si="63">F194*12</f>
        <v>3924</v>
      </c>
      <c r="W194" s="9">
        <f t="shared" ref="W194:W257" si="64">V194*I194</f>
        <v>973976.04</v>
      </c>
      <c r="Y194">
        <f t="shared" si="46"/>
        <v>2.1836562240347018E-3</v>
      </c>
      <c r="Z194" s="12">
        <f t="shared" si="56"/>
        <v>0.67728525337170398</v>
      </c>
      <c r="AA194" t="str">
        <f t="shared" si="47"/>
        <v>A</v>
      </c>
      <c r="AB194" t="str">
        <f t="shared" si="48"/>
        <v>Y</v>
      </c>
      <c r="AC194" t="str">
        <f t="shared" si="49"/>
        <v>AY</v>
      </c>
      <c r="AD194" t="str">
        <f t="shared" si="50"/>
        <v>Frequent Monitoring</v>
      </c>
      <c r="AE194" t="str">
        <f t="shared" si="51"/>
        <v>Every 2 Days</v>
      </c>
      <c r="AF194" t="str">
        <f t="shared" si="52"/>
        <v>Frequent Monitoring</v>
      </c>
      <c r="AG194" t="str">
        <f t="shared" si="53"/>
        <v>High</v>
      </c>
      <c r="AH194">
        <f t="shared" si="54"/>
        <v>60</v>
      </c>
      <c r="AI194" t="str">
        <f t="shared" si="55"/>
        <v>High</v>
      </c>
    </row>
    <row r="195" spans="1:35">
      <c r="A195" t="s">
        <v>239</v>
      </c>
      <c r="B195" t="s">
        <v>36</v>
      </c>
      <c r="C195" t="s">
        <v>22</v>
      </c>
      <c r="D195" t="s">
        <v>25</v>
      </c>
      <c r="E195">
        <v>464</v>
      </c>
      <c r="F195">
        <v>342</v>
      </c>
      <c r="G195">
        <v>75</v>
      </c>
      <c r="H195">
        <v>26</v>
      </c>
      <c r="I195">
        <v>237.07</v>
      </c>
      <c r="J195">
        <v>0.18</v>
      </c>
      <c r="K195">
        <v>452</v>
      </c>
      <c r="L195">
        <v>1</v>
      </c>
      <c r="M195">
        <v>4</v>
      </c>
      <c r="N195" s="1">
        <f t="shared" si="57"/>
        <v>11.4</v>
      </c>
      <c r="O195" s="1">
        <f>N195*(1+Control_Panel!$B$2)</f>
        <v>11.4</v>
      </c>
      <c r="P195" s="12">
        <f t="shared" si="58"/>
        <v>0.21929824561403508</v>
      </c>
      <c r="Q195" t="str" cm="1">
        <f t="array" ref="Q195">_xlfn.IFS(P195&lt;0.2,"Stable",P195&lt;=0.5,"Moderate",P195&gt;0.5,"Highly veriable")</f>
        <v>Moderate</v>
      </c>
      <c r="R195" s="1">
        <f t="shared" si="59"/>
        <v>382.42646351945882</v>
      </c>
      <c r="S195" s="1">
        <f t="shared" si="60"/>
        <v>419.8264635194588</v>
      </c>
      <c r="T195" s="1">
        <f t="shared" si="61"/>
        <v>44.173536480541202</v>
      </c>
      <c r="U195" t="str">
        <f t="shared" si="62"/>
        <v xml:space="preserve"> Risk</v>
      </c>
      <c r="V195">
        <f t="shared" si="63"/>
        <v>4104</v>
      </c>
      <c r="W195" s="9">
        <f t="shared" si="64"/>
        <v>972935.28</v>
      </c>
      <c r="Y195">
        <f t="shared" ref="Y195:Y258" si="65">W195/$X$3</f>
        <v>2.1813228380391627E-3</v>
      </c>
      <c r="Z195" s="12">
        <f t="shared" si="56"/>
        <v>0.67946657620974316</v>
      </c>
      <c r="AA195" t="str">
        <f t="shared" ref="AA195:AA258" si="66">IF(Z195&lt;=80%,"A",IF(Z195&lt;=95%,"B","C"))</f>
        <v>A</v>
      </c>
      <c r="AB195" t="str">
        <f t="shared" ref="AB195:AB258" si="67">IF(P195&lt;=20%,"X",IF(P195&lt;=50%,"Y","Z"))</f>
        <v>Y</v>
      </c>
      <c r="AC195" t="str">
        <f t="shared" ref="AC195:AC258" si="68">AA195&amp;AB195</f>
        <v>AY</v>
      </c>
      <c r="AD195" t="str">
        <f t="shared" ref="AD195:AD258" si="69">IF(AC195="AX","Strict Control",
IF(AC195="AY","Frequent Monitoring",
IF(AC195="AZ","Risk-Control Strategy",
IF(AC195="BX","Standard Control",
IF(AC195="BY","Periodic Review",
IF(AC195="BZ","Risk Monitoring",
IF(AC195="CX","Simplified Bulk Control",
IF(AC195="CY","Low-Priority Monitoring",
IF(AC195="CZ","Minimal Control","Check")))))))))</f>
        <v>Frequent Monitoring</v>
      </c>
      <c r="AE195" t="str">
        <f t="shared" ref="AE195:AE258" si="70">IF(AC195="AX","Daily",
IF(AC195="AY","Every 2 Days",
IF(AC195="AZ","Daily + Manager Review",
IF(AC195="BX","Weekly",
IF(AC195="BY","Bi-Weekly",
IF(AC195="BZ","Weekly Risk Review",
IF(AC195="CX","Monthly",
IF(AC195="CY","Monthly Review",
IF(AC195="CZ","Quarterly","Check")))))))))</f>
        <v>Every 2 Days</v>
      </c>
      <c r="AF195" t="str">
        <f t="shared" ref="AF195:AF258" si="71">IF(AC195="AX","Strict Replenishment",
IF(AC195="AY","Frequent Monitoring",
IF(AC195="AZ","Increase Safety Stock",
IF(AC195="BX","Standard Replenishment",
IF(AC195="BY","Periodic Review",
IF(AC195="BZ","Monitor Demand Variability",
IF(AC195="CX","Bulk Ordering",
IF(AC195="CY","Low Priority Monitoring",
IF(AC195="CZ","Reduce Inventory Exposure",
"Check")))))))))</f>
        <v>Frequent Monitoring</v>
      </c>
      <c r="AG195" t="str">
        <f t="shared" ref="AG195:AG258" si="72">IF(AC195="AZ","Critical",
IF(AC195="AY","High",
IF(AC195="BZ","Medium",
IF(U195="Need to Order","Medium",
"Low"))))</f>
        <v>High</v>
      </c>
      <c r="AH195">
        <f t="shared" ref="AH195:AH258" si="73">IF(AC195="AZ",40,
IF(AC195="AY",30,
IF(AC195="AX",20,10)))
+
IF(U195="Need to Order",30,
IF(U195="Risk",15,0))
+
IF(L195&lt;70,20,
IF(L195&lt;85,10,0))
+
IF(M195&gt;7,20,
IF(M195&gt;4,10,0))</f>
        <v>50</v>
      </c>
      <c r="AI195" t="str">
        <f t="shared" ref="AI195:AI258" si="74">IF(AH195&gt;=70,"Critical",
IF(AH195&gt;=60,"High",
IF(AH195&gt;=50,"Medium",
"Low")))</f>
        <v>Medium</v>
      </c>
    </row>
    <row r="196" spans="1:35">
      <c r="A196" t="s">
        <v>445</v>
      </c>
      <c r="B196" t="s">
        <v>34</v>
      </c>
      <c r="C196" t="s">
        <v>15</v>
      </c>
      <c r="D196" t="s">
        <v>23</v>
      </c>
      <c r="E196">
        <v>895</v>
      </c>
      <c r="F196">
        <v>488</v>
      </c>
      <c r="G196">
        <v>87</v>
      </c>
      <c r="H196">
        <v>10</v>
      </c>
      <c r="I196">
        <v>165.18</v>
      </c>
      <c r="J196">
        <v>0.1</v>
      </c>
      <c r="K196">
        <v>146</v>
      </c>
      <c r="L196">
        <v>0.81</v>
      </c>
      <c r="M196">
        <v>8</v>
      </c>
      <c r="N196" s="1">
        <f t="shared" si="57"/>
        <v>16.266666666666666</v>
      </c>
      <c r="O196" s="1">
        <f>N196*(1+Control_Panel!$B$2)</f>
        <v>16.266666666666666</v>
      </c>
      <c r="P196" s="12">
        <f t="shared" si="58"/>
        <v>0.17827868852459017</v>
      </c>
      <c r="Q196" t="str" cm="1">
        <f t="array" ref="Q196">_xlfn.IFS(P196&lt;0.2,"Stable",P196&lt;=0.5,"Moderate",P196&gt;0.5,"Highly veriable")</f>
        <v>Stable</v>
      </c>
      <c r="R196" s="1">
        <f t="shared" si="59"/>
        <v>275.11815643464899</v>
      </c>
      <c r="S196" s="1">
        <f t="shared" si="60"/>
        <v>301.38482310131565</v>
      </c>
      <c r="T196" s="1">
        <f t="shared" si="61"/>
        <v>593.61517689868435</v>
      </c>
      <c r="U196" t="str">
        <f t="shared" si="62"/>
        <v xml:space="preserve"> Safe</v>
      </c>
      <c r="V196">
        <f t="shared" si="63"/>
        <v>5856</v>
      </c>
      <c r="W196" s="9">
        <f t="shared" si="64"/>
        <v>967294.08000000007</v>
      </c>
      <c r="Y196">
        <f t="shared" si="65"/>
        <v>2.1686752563891826E-3</v>
      </c>
      <c r="Z196" s="12">
        <f t="shared" ref="Z196:Z259" si="75">Z195+Y196</f>
        <v>0.68163525146613235</v>
      </c>
      <c r="AA196" t="str">
        <f t="shared" si="66"/>
        <v>A</v>
      </c>
      <c r="AB196" t="str">
        <f t="shared" si="67"/>
        <v>X</v>
      </c>
      <c r="AC196" t="str">
        <f t="shared" si="68"/>
        <v>AX</v>
      </c>
      <c r="AD196" t="str">
        <f t="shared" si="69"/>
        <v>Strict Control</v>
      </c>
      <c r="AE196" t="str">
        <f t="shared" si="70"/>
        <v>Daily</v>
      </c>
      <c r="AF196" t="str">
        <f t="shared" si="71"/>
        <v>Strict Replenishment</v>
      </c>
      <c r="AG196" t="str">
        <f t="shared" si="72"/>
        <v>Low</v>
      </c>
      <c r="AH196">
        <f t="shared" si="73"/>
        <v>60</v>
      </c>
      <c r="AI196" t="str">
        <f t="shared" si="74"/>
        <v>High</v>
      </c>
    </row>
    <row r="197" spans="1:35">
      <c r="A197" t="s">
        <v>376</v>
      </c>
      <c r="B197" t="s">
        <v>40</v>
      </c>
      <c r="C197" t="s">
        <v>15</v>
      </c>
      <c r="D197" t="s">
        <v>16</v>
      </c>
      <c r="E197">
        <v>123</v>
      </c>
      <c r="F197">
        <v>220</v>
      </c>
      <c r="G197">
        <v>59</v>
      </c>
      <c r="H197">
        <v>3</v>
      </c>
      <c r="I197">
        <v>365.04</v>
      </c>
      <c r="J197">
        <v>0.09</v>
      </c>
      <c r="K197">
        <v>429</v>
      </c>
      <c r="L197">
        <v>0.81</v>
      </c>
      <c r="M197">
        <v>7</v>
      </c>
      <c r="N197" s="1">
        <f t="shared" si="57"/>
        <v>7.333333333333333</v>
      </c>
      <c r="O197" s="1">
        <f>N197*(1+Control_Panel!$B$2)</f>
        <v>7.333333333333333</v>
      </c>
      <c r="P197" s="12">
        <f t="shared" si="58"/>
        <v>0.26818181818181819</v>
      </c>
      <c r="Q197" t="str" cm="1">
        <f t="array" ref="Q197">_xlfn.IFS(P197&lt;0.2,"Stable",P197&lt;=0.5,"Moderate",P197&gt;0.5,"Highly veriable")</f>
        <v>Moderate</v>
      </c>
      <c r="R197" s="1">
        <f t="shared" si="59"/>
        <v>102.19099764656376</v>
      </c>
      <c r="S197" s="1">
        <f t="shared" si="60"/>
        <v>112.52433097989709</v>
      </c>
      <c r="T197" s="1">
        <f t="shared" si="61"/>
        <v>10.475669020102913</v>
      </c>
      <c r="U197" t="str">
        <f t="shared" si="62"/>
        <v xml:space="preserve"> Risk</v>
      </c>
      <c r="V197">
        <f t="shared" si="63"/>
        <v>2640</v>
      </c>
      <c r="W197" s="9">
        <f t="shared" si="64"/>
        <v>963705.60000000009</v>
      </c>
      <c r="Y197">
        <f t="shared" si="65"/>
        <v>2.1606298770728452E-3</v>
      </c>
      <c r="Z197" s="12">
        <f t="shared" si="75"/>
        <v>0.68379588134320524</v>
      </c>
      <c r="AA197" t="str">
        <f t="shared" si="66"/>
        <v>A</v>
      </c>
      <c r="AB197" t="str">
        <f t="shared" si="67"/>
        <v>Y</v>
      </c>
      <c r="AC197" t="str">
        <f t="shared" si="68"/>
        <v>AY</v>
      </c>
      <c r="AD197" t="str">
        <f t="shared" si="69"/>
        <v>Frequent Monitoring</v>
      </c>
      <c r="AE197" t="str">
        <f t="shared" si="70"/>
        <v>Every 2 Days</v>
      </c>
      <c r="AF197" t="str">
        <f t="shared" si="71"/>
        <v>Frequent Monitoring</v>
      </c>
      <c r="AG197" t="str">
        <f t="shared" si="72"/>
        <v>High</v>
      </c>
      <c r="AH197">
        <f t="shared" si="73"/>
        <v>60</v>
      </c>
      <c r="AI197" t="str">
        <f t="shared" si="74"/>
        <v>High</v>
      </c>
    </row>
    <row r="198" spans="1:35">
      <c r="A198" t="s">
        <v>162</v>
      </c>
      <c r="B198" t="s">
        <v>29</v>
      </c>
      <c r="C198" t="s">
        <v>15</v>
      </c>
      <c r="D198" t="s">
        <v>23</v>
      </c>
      <c r="E198">
        <v>628</v>
      </c>
      <c r="F198">
        <v>467</v>
      </c>
      <c r="G198">
        <v>73</v>
      </c>
      <c r="H198">
        <v>25</v>
      </c>
      <c r="I198">
        <v>171.32</v>
      </c>
      <c r="J198">
        <v>0.12</v>
      </c>
      <c r="K198">
        <v>225</v>
      </c>
      <c r="L198">
        <v>0.72</v>
      </c>
      <c r="M198">
        <v>9</v>
      </c>
      <c r="N198" s="1">
        <f t="shared" si="57"/>
        <v>15.566666666666666</v>
      </c>
      <c r="O198" s="1">
        <f>N198*(1+Control_Panel!$B$2)</f>
        <v>15.566666666666666</v>
      </c>
      <c r="P198" s="12">
        <f t="shared" si="58"/>
        <v>0.15631691648822268</v>
      </c>
      <c r="Q198" t="str" cm="1">
        <f t="array" ref="Q198">_xlfn.IFS(P198&lt;0.2,"Stable",P198&lt;=0.5,"Moderate",P198&gt;0.5,"Highly veriable")</f>
        <v>Stable</v>
      </c>
      <c r="R198" s="1">
        <f t="shared" si="59"/>
        <v>365</v>
      </c>
      <c r="S198" s="1">
        <f t="shared" si="60"/>
        <v>405.56666666666666</v>
      </c>
      <c r="T198" s="1">
        <f t="shared" si="61"/>
        <v>222.43333333333334</v>
      </c>
      <c r="U198" t="str">
        <f t="shared" si="62"/>
        <v xml:space="preserve"> Risk</v>
      </c>
      <c r="V198">
        <f t="shared" si="63"/>
        <v>5604</v>
      </c>
      <c r="W198" s="9">
        <f t="shared" si="64"/>
        <v>960077.27999999991</v>
      </c>
      <c r="Y198">
        <f t="shared" si="65"/>
        <v>2.1524951763970566E-3</v>
      </c>
      <c r="Z198" s="12">
        <f t="shared" si="75"/>
        <v>0.68594837651960228</v>
      </c>
      <c r="AA198" t="str">
        <f t="shared" si="66"/>
        <v>A</v>
      </c>
      <c r="AB198" t="str">
        <f t="shared" si="67"/>
        <v>X</v>
      </c>
      <c r="AC198" t="str">
        <f t="shared" si="68"/>
        <v>AX</v>
      </c>
      <c r="AD198" t="str">
        <f t="shared" si="69"/>
        <v>Strict Control</v>
      </c>
      <c r="AE198" t="str">
        <f t="shared" si="70"/>
        <v>Daily</v>
      </c>
      <c r="AF198" t="str">
        <f t="shared" si="71"/>
        <v>Strict Replenishment</v>
      </c>
      <c r="AG198" t="str">
        <f t="shared" si="72"/>
        <v>Low</v>
      </c>
      <c r="AH198">
        <f t="shared" si="73"/>
        <v>60</v>
      </c>
      <c r="AI198" t="str">
        <f t="shared" si="74"/>
        <v>High</v>
      </c>
    </row>
    <row r="199" spans="1:35">
      <c r="A199" t="s">
        <v>149</v>
      </c>
      <c r="B199" t="s">
        <v>29</v>
      </c>
      <c r="C199" t="s">
        <v>22</v>
      </c>
      <c r="D199" t="s">
        <v>16</v>
      </c>
      <c r="E199">
        <v>470</v>
      </c>
      <c r="F199">
        <v>268</v>
      </c>
      <c r="G199">
        <v>73</v>
      </c>
      <c r="H199">
        <v>23</v>
      </c>
      <c r="I199">
        <v>297.51</v>
      </c>
      <c r="J199">
        <v>0.19</v>
      </c>
      <c r="K199">
        <v>416</v>
      </c>
      <c r="L199">
        <v>0.97</v>
      </c>
      <c r="M199">
        <v>5</v>
      </c>
      <c r="N199" s="1">
        <f t="shared" si="57"/>
        <v>8.9333333333333336</v>
      </c>
      <c r="O199" s="1">
        <f>N199*(1+Control_Panel!$B$2)</f>
        <v>8.9333333333333336</v>
      </c>
      <c r="P199" s="12">
        <f t="shared" si="58"/>
        <v>0.27238805970149255</v>
      </c>
      <c r="Q199" t="str" cm="1">
        <f t="array" ref="Q199">_xlfn.IFS(P199&lt;0.2,"Stable",P199&lt;=0.5,"Moderate",P199&gt;0.5,"Highly veriable")</f>
        <v>Moderate</v>
      </c>
      <c r="R199" s="1">
        <f t="shared" si="59"/>
        <v>350.09570120182849</v>
      </c>
      <c r="S199" s="1">
        <f t="shared" si="60"/>
        <v>382.02903453516183</v>
      </c>
      <c r="T199" s="1">
        <f t="shared" si="61"/>
        <v>87.970965464838173</v>
      </c>
      <c r="U199" t="str">
        <f t="shared" si="62"/>
        <v xml:space="preserve"> Risk</v>
      </c>
      <c r="V199">
        <f t="shared" si="63"/>
        <v>3216</v>
      </c>
      <c r="W199" s="9">
        <f t="shared" si="64"/>
        <v>956792.15999999992</v>
      </c>
      <c r="Y199">
        <f t="shared" si="65"/>
        <v>2.1451299308056959E-3</v>
      </c>
      <c r="Z199" s="12">
        <f t="shared" si="75"/>
        <v>0.68809350645040801</v>
      </c>
      <c r="AA199" t="str">
        <f t="shared" si="66"/>
        <v>A</v>
      </c>
      <c r="AB199" t="str">
        <f t="shared" si="67"/>
        <v>Y</v>
      </c>
      <c r="AC199" t="str">
        <f t="shared" si="68"/>
        <v>AY</v>
      </c>
      <c r="AD199" t="str">
        <f t="shared" si="69"/>
        <v>Frequent Monitoring</v>
      </c>
      <c r="AE199" t="str">
        <f t="shared" si="70"/>
        <v>Every 2 Days</v>
      </c>
      <c r="AF199" t="str">
        <f t="shared" si="71"/>
        <v>Frequent Monitoring</v>
      </c>
      <c r="AG199" t="str">
        <f t="shared" si="72"/>
        <v>High</v>
      </c>
      <c r="AH199">
        <f t="shared" si="73"/>
        <v>60</v>
      </c>
      <c r="AI199" t="str">
        <f t="shared" si="74"/>
        <v>High</v>
      </c>
    </row>
    <row r="200" spans="1:35">
      <c r="A200" t="s">
        <v>484</v>
      </c>
      <c r="B200" t="s">
        <v>34</v>
      </c>
      <c r="C200" t="s">
        <v>22</v>
      </c>
      <c r="D200" t="s">
        <v>41</v>
      </c>
      <c r="E200">
        <v>791</v>
      </c>
      <c r="F200">
        <v>204</v>
      </c>
      <c r="G200">
        <v>35</v>
      </c>
      <c r="H200">
        <v>25</v>
      </c>
      <c r="I200">
        <v>386.15</v>
      </c>
      <c r="J200">
        <v>0.1</v>
      </c>
      <c r="K200">
        <v>727</v>
      </c>
      <c r="L200">
        <v>0.9</v>
      </c>
      <c r="M200">
        <v>8</v>
      </c>
      <c r="N200" s="1">
        <f t="shared" si="57"/>
        <v>6.8</v>
      </c>
      <c r="O200" s="1">
        <f>N200*(1+Control_Panel!$B$2)</f>
        <v>6.8</v>
      </c>
      <c r="P200" s="12">
        <f t="shared" si="58"/>
        <v>0.17156862745098039</v>
      </c>
      <c r="Q200" t="str" cm="1">
        <f t="array" ref="Q200">_xlfn.IFS(P200&lt;0.2,"Stable",P200&lt;=0.5,"Moderate",P200&gt;0.5,"Highly veriable")</f>
        <v>Stable</v>
      </c>
      <c r="R200" s="1">
        <f t="shared" si="59"/>
        <v>175</v>
      </c>
      <c r="S200" s="1">
        <f t="shared" si="60"/>
        <v>206.8</v>
      </c>
      <c r="T200" s="1">
        <f t="shared" si="61"/>
        <v>584.20000000000005</v>
      </c>
      <c r="U200" t="str">
        <f t="shared" si="62"/>
        <v xml:space="preserve"> Safe</v>
      </c>
      <c r="V200">
        <f t="shared" si="63"/>
        <v>2448</v>
      </c>
      <c r="W200" s="9">
        <f t="shared" si="64"/>
        <v>945295.2</v>
      </c>
      <c r="Y200">
        <f t="shared" si="65"/>
        <v>2.1193537235578487E-3</v>
      </c>
      <c r="Z200" s="12">
        <f t="shared" si="75"/>
        <v>0.69021286017396588</v>
      </c>
      <c r="AA200" t="str">
        <f t="shared" si="66"/>
        <v>A</v>
      </c>
      <c r="AB200" t="str">
        <f t="shared" si="67"/>
        <v>X</v>
      </c>
      <c r="AC200" t="str">
        <f t="shared" si="68"/>
        <v>AX</v>
      </c>
      <c r="AD200" t="str">
        <f t="shared" si="69"/>
        <v>Strict Control</v>
      </c>
      <c r="AE200" t="str">
        <f t="shared" si="70"/>
        <v>Daily</v>
      </c>
      <c r="AF200" t="str">
        <f t="shared" si="71"/>
        <v>Strict Replenishment</v>
      </c>
      <c r="AG200" t="str">
        <f t="shared" si="72"/>
        <v>Low</v>
      </c>
      <c r="AH200">
        <f t="shared" si="73"/>
        <v>60</v>
      </c>
      <c r="AI200" t="str">
        <f t="shared" si="74"/>
        <v>High</v>
      </c>
    </row>
    <row r="201" spans="1:35">
      <c r="A201" t="s">
        <v>442</v>
      </c>
      <c r="B201" t="s">
        <v>21</v>
      </c>
      <c r="C201" t="s">
        <v>15</v>
      </c>
      <c r="D201" t="s">
        <v>41</v>
      </c>
      <c r="E201">
        <v>193</v>
      </c>
      <c r="F201">
        <v>204</v>
      </c>
      <c r="G201">
        <v>58</v>
      </c>
      <c r="H201">
        <v>1</v>
      </c>
      <c r="I201">
        <v>385.57</v>
      </c>
      <c r="J201">
        <v>0.12</v>
      </c>
      <c r="K201">
        <v>770</v>
      </c>
      <c r="L201">
        <v>0.76</v>
      </c>
      <c r="M201">
        <v>3</v>
      </c>
      <c r="N201" s="1">
        <f t="shared" si="57"/>
        <v>6.8</v>
      </c>
      <c r="O201" s="1">
        <f>N201*(1+Control_Panel!$B$2)</f>
        <v>6.8</v>
      </c>
      <c r="P201" s="12">
        <f t="shared" si="58"/>
        <v>0.28431372549019607</v>
      </c>
      <c r="Q201" t="str" cm="1">
        <f t="array" ref="Q201">_xlfn.IFS(P201&lt;0.2,"Stable",P201&lt;=0.5,"Moderate",P201&gt;0.5,"Highly veriable")</f>
        <v>Moderate</v>
      </c>
      <c r="R201" s="1">
        <f t="shared" si="59"/>
        <v>58</v>
      </c>
      <c r="S201" s="1">
        <f t="shared" si="60"/>
        <v>65.8</v>
      </c>
      <c r="T201" s="1">
        <f t="shared" si="61"/>
        <v>127.2</v>
      </c>
      <c r="U201" t="str">
        <f t="shared" si="62"/>
        <v xml:space="preserve"> Safe</v>
      </c>
      <c r="V201">
        <f t="shared" si="63"/>
        <v>2448</v>
      </c>
      <c r="W201" s="9">
        <f t="shared" si="64"/>
        <v>943875.36</v>
      </c>
      <c r="Y201">
        <f t="shared" si="65"/>
        <v>2.1161704394463284E-3</v>
      </c>
      <c r="Z201" s="12">
        <f t="shared" si="75"/>
        <v>0.69232903061341222</v>
      </c>
      <c r="AA201" t="str">
        <f t="shared" si="66"/>
        <v>A</v>
      </c>
      <c r="AB201" t="str">
        <f t="shared" si="67"/>
        <v>Y</v>
      </c>
      <c r="AC201" t="str">
        <f t="shared" si="68"/>
        <v>AY</v>
      </c>
      <c r="AD201" t="str">
        <f t="shared" si="69"/>
        <v>Frequent Monitoring</v>
      </c>
      <c r="AE201" t="str">
        <f t="shared" si="70"/>
        <v>Every 2 Days</v>
      </c>
      <c r="AF201" t="str">
        <f t="shared" si="71"/>
        <v>Frequent Monitoring</v>
      </c>
      <c r="AG201" t="str">
        <f t="shared" si="72"/>
        <v>High</v>
      </c>
      <c r="AH201">
        <f t="shared" si="73"/>
        <v>50</v>
      </c>
      <c r="AI201" t="str">
        <f t="shared" si="74"/>
        <v>Medium</v>
      </c>
    </row>
    <row r="202" spans="1:35">
      <c r="A202" t="s">
        <v>274</v>
      </c>
      <c r="B202" t="s">
        <v>29</v>
      </c>
      <c r="C202" t="s">
        <v>15</v>
      </c>
      <c r="D202" t="s">
        <v>19</v>
      </c>
      <c r="E202">
        <v>738</v>
      </c>
      <c r="F202">
        <v>306</v>
      </c>
      <c r="G202">
        <v>54</v>
      </c>
      <c r="H202">
        <v>26</v>
      </c>
      <c r="I202">
        <v>256.92</v>
      </c>
      <c r="J202">
        <v>0.19</v>
      </c>
      <c r="K202">
        <v>536</v>
      </c>
      <c r="L202">
        <v>0.97</v>
      </c>
      <c r="M202">
        <v>1</v>
      </c>
      <c r="N202" s="1">
        <f t="shared" si="57"/>
        <v>10.199999999999999</v>
      </c>
      <c r="O202" s="1">
        <f>N202*(1+Control_Panel!$B$2)</f>
        <v>10.199999999999999</v>
      </c>
      <c r="P202" s="12">
        <f t="shared" si="58"/>
        <v>0.17647058823529413</v>
      </c>
      <c r="Q202" t="str" cm="1">
        <f t="array" ref="Q202">_xlfn.IFS(P202&lt;0.2,"Stable",P202&lt;=0.5,"Moderate",P202&gt;0.5,"Highly veriable")</f>
        <v>Stable</v>
      </c>
      <c r="R202" s="1">
        <f t="shared" si="59"/>
        <v>275.34705373401039</v>
      </c>
      <c r="S202" s="1">
        <f t="shared" si="60"/>
        <v>311.54705373401038</v>
      </c>
      <c r="T202" s="1">
        <f t="shared" si="61"/>
        <v>426.45294626598962</v>
      </c>
      <c r="U202" t="str">
        <f t="shared" si="62"/>
        <v xml:space="preserve"> Safe</v>
      </c>
      <c r="V202">
        <f t="shared" si="63"/>
        <v>3672</v>
      </c>
      <c r="W202" s="9">
        <f t="shared" si="64"/>
        <v>943410.24000000011</v>
      </c>
      <c r="Y202">
        <f t="shared" si="65"/>
        <v>2.1151276394787617E-3</v>
      </c>
      <c r="Z202" s="12">
        <f t="shared" si="75"/>
        <v>0.69444415825289096</v>
      </c>
      <c r="AA202" t="str">
        <f t="shared" si="66"/>
        <v>A</v>
      </c>
      <c r="AB202" t="str">
        <f t="shared" si="67"/>
        <v>X</v>
      </c>
      <c r="AC202" t="str">
        <f t="shared" si="68"/>
        <v>AX</v>
      </c>
      <c r="AD202" t="str">
        <f t="shared" si="69"/>
        <v>Strict Control</v>
      </c>
      <c r="AE202" t="str">
        <f t="shared" si="70"/>
        <v>Daily</v>
      </c>
      <c r="AF202" t="str">
        <f t="shared" si="71"/>
        <v>Strict Replenishment</v>
      </c>
      <c r="AG202" t="str">
        <f t="shared" si="72"/>
        <v>Low</v>
      </c>
      <c r="AH202">
        <f t="shared" si="73"/>
        <v>40</v>
      </c>
      <c r="AI202" t="str">
        <f t="shared" si="74"/>
        <v>Low</v>
      </c>
    </row>
    <row r="203" spans="1:35">
      <c r="A203" t="s">
        <v>193</v>
      </c>
      <c r="B203" t="s">
        <v>36</v>
      </c>
      <c r="C203" t="s">
        <v>22</v>
      </c>
      <c r="D203" t="s">
        <v>41</v>
      </c>
      <c r="E203">
        <v>532</v>
      </c>
      <c r="F203">
        <v>299</v>
      </c>
      <c r="G203">
        <v>14</v>
      </c>
      <c r="H203">
        <v>19</v>
      </c>
      <c r="I203">
        <v>262.64999999999998</v>
      </c>
      <c r="J203">
        <v>0.15</v>
      </c>
      <c r="K203">
        <v>539</v>
      </c>
      <c r="L203">
        <v>0.92</v>
      </c>
      <c r="M203">
        <v>10</v>
      </c>
      <c r="N203" s="1">
        <f t="shared" si="57"/>
        <v>9.9666666666666668</v>
      </c>
      <c r="O203" s="1">
        <f>N203*(1+Control_Panel!$B$2)</f>
        <v>9.9666666666666668</v>
      </c>
      <c r="P203" s="12">
        <f t="shared" si="58"/>
        <v>4.6822742474916385E-2</v>
      </c>
      <c r="Q203" t="str" cm="1">
        <f t="array" ref="Q203">_xlfn.IFS(P203&lt;0.2,"Stable",P203&lt;=0.5,"Moderate",P203&gt;0.5,"Highly veriable")</f>
        <v>Stable</v>
      </c>
      <c r="R203" s="1">
        <f t="shared" si="59"/>
        <v>61.024585209569437</v>
      </c>
      <c r="S203" s="1">
        <f t="shared" si="60"/>
        <v>89.991251876236106</v>
      </c>
      <c r="T203" s="1">
        <f t="shared" si="61"/>
        <v>442.00874812376389</v>
      </c>
      <c r="U203" t="str">
        <f t="shared" si="62"/>
        <v xml:space="preserve"> Safe</v>
      </c>
      <c r="V203">
        <f t="shared" si="63"/>
        <v>3588</v>
      </c>
      <c r="W203" s="9">
        <f t="shared" si="64"/>
        <v>942388.2</v>
      </c>
      <c r="Y203">
        <f t="shared" si="65"/>
        <v>2.1128362237605547E-3</v>
      </c>
      <c r="Z203" s="12">
        <f t="shared" si="75"/>
        <v>0.69655699447665154</v>
      </c>
      <c r="AA203" t="str">
        <f t="shared" si="66"/>
        <v>A</v>
      </c>
      <c r="AB203" t="str">
        <f t="shared" si="67"/>
        <v>X</v>
      </c>
      <c r="AC203" t="str">
        <f t="shared" si="68"/>
        <v>AX</v>
      </c>
      <c r="AD203" t="str">
        <f t="shared" si="69"/>
        <v>Strict Control</v>
      </c>
      <c r="AE203" t="str">
        <f t="shared" si="70"/>
        <v>Daily</v>
      </c>
      <c r="AF203" t="str">
        <f t="shared" si="71"/>
        <v>Strict Replenishment</v>
      </c>
      <c r="AG203" t="str">
        <f t="shared" si="72"/>
        <v>Low</v>
      </c>
      <c r="AH203">
        <f t="shared" si="73"/>
        <v>60</v>
      </c>
      <c r="AI203" t="str">
        <f t="shared" si="74"/>
        <v>High</v>
      </c>
    </row>
    <row r="204" spans="1:35">
      <c r="A204" t="s">
        <v>217</v>
      </c>
      <c r="B204" t="s">
        <v>18</v>
      </c>
      <c r="C204" t="s">
        <v>22</v>
      </c>
      <c r="D204" t="s">
        <v>25</v>
      </c>
      <c r="E204">
        <v>229</v>
      </c>
      <c r="F204">
        <v>256</v>
      </c>
      <c r="G204">
        <v>35</v>
      </c>
      <c r="H204">
        <v>5</v>
      </c>
      <c r="I204">
        <v>305.82</v>
      </c>
      <c r="J204">
        <v>0.13</v>
      </c>
      <c r="K204">
        <v>219</v>
      </c>
      <c r="L204">
        <v>0.95</v>
      </c>
      <c r="M204">
        <v>9</v>
      </c>
      <c r="N204" s="1">
        <f t="shared" si="57"/>
        <v>8.5333333333333332</v>
      </c>
      <c r="O204" s="1">
        <f>N204*(1+Control_Panel!$B$2)</f>
        <v>8.5333333333333332</v>
      </c>
      <c r="P204" s="12">
        <f t="shared" si="58"/>
        <v>0.13671875</v>
      </c>
      <c r="Q204" t="str" cm="1">
        <f t="array" ref="Q204">_xlfn.IFS(P204&lt;0.2,"Stable",P204&lt;=0.5,"Moderate",P204&gt;0.5,"Highly veriable")</f>
        <v>Stable</v>
      </c>
      <c r="R204" s="1">
        <f t="shared" si="59"/>
        <v>78.262379212492647</v>
      </c>
      <c r="S204" s="1">
        <f t="shared" si="60"/>
        <v>91.795712545825978</v>
      </c>
      <c r="T204" s="1">
        <f t="shared" si="61"/>
        <v>137.20428745417402</v>
      </c>
      <c r="U204" t="str">
        <f t="shared" si="62"/>
        <v xml:space="preserve"> Safe</v>
      </c>
      <c r="V204">
        <f t="shared" si="63"/>
        <v>3072</v>
      </c>
      <c r="W204" s="9">
        <f t="shared" si="64"/>
        <v>939479.04000000004</v>
      </c>
      <c r="Y204">
        <f t="shared" si="65"/>
        <v>2.1063138812389536E-3</v>
      </c>
      <c r="Z204" s="12">
        <f t="shared" si="75"/>
        <v>0.69866330835789048</v>
      </c>
      <c r="AA204" t="str">
        <f t="shared" si="66"/>
        <v>A</v>
      </c>
      <c r="AB204" t="str">
        <f t="shared" si="67"/>
        <v>X</v>
      </c>
      <c r="AC204" t="str">
        <f t="shared" si="68"/>
        <v>AX</v>
      </c>
      <c r="AD204" t="str">
        <f t="shared" si="69"/>
        <v>Strict Control</v>
      </c>
      <c r="AE204" t="str">
        <f t="shared" si="70"/>
        <v>Daily</v>
      </c>
      <c r="AF204" t="str">
        <f t="shared" si="71"/>
        <v>Strict Replenishment</v>
      </c>
      <c r="AG204" t="str">
        <f t="shared" si="72"/>
        <v>Low</v>
      </c>
      <c r="AH204">
        <f t="shared" si="73"/>
        <v>60</v>
      </c>
      <c r="AI204" t="str">
        <f t="shared" si="74"/>
        <v>High</v>
      </c>
    </row>
    <row r="205" spans="1:35">
      <c r="A205" t="s">
        <v>182</v>
      </c>
      <c r="B205" t="s">
        <v>18</v>
      </c>
      <c r="C205" t="s">
        <v>15</v>
      </c>
      <c r="D205" t="s">
        <v>23</v>
      </c>
      <c r="E205">
        <v>829</v>
      </c>
      <c r="F205">
        <v>421</v>
      </c>
      <c r="G205">
        <v>87</v>
      </c>
      <c r="H205">
        <v>18</v>
      </c>
      <c r="I205">
        <v>185.36</v>
      </c>
      <c r="J205">
        <v>0.24</v>
      </c>
      <c r="K205">
        <v>254</v>
      </c>
      <c r="L205">
        <v>0.86</v>
      </c>
      <c r="M205">
        <v>10</v>
      </c>
      <c r="N205" s="1">
        <f t="shared" si="57"/>
        <v>14.033333333333333</v>
      </c>
      <c r="O205" s="1">
        <f>N205*(1+Control_Panel!$B$2)</f>
        <v>14.033333333333333</v>
      </c>
      <c r="P205" s="12">
        <f t="shared" si="58"/>
        <v>0.20665083135391923</v>
      </c>
      <c r="Q205" t="str" cm="1">
        <f t="array" ref="Q205">_xlfn.IFS(P205&lt;0.2,"Stable",P205&lt;=0.5,"Moderate",P205&gt;0.5,"Highly veriable")</f>
        <v>Moderate</v>
      </c>
      <c r="R205" s="1">
        <f t="shared" si="59"/>
        <v>369.10973977937778</v>
      </c>
      <c r="S205" s="1">
        <f t="shared" si="60"/>
        <v>401.14307311271114</v>
      </c>
      <c r="T205" s="1">
        <f t="shared" si="61"/>
        <v>427.85692688728886</v>
      </c>
      <c r="U205" t="str">
        <f t="shared" si="62"/>
        <v xml:space="preserve"> Safe</v>
      </c>
      <c r="V205">
        <f t="shared" si="63"/>
        <v>5052</v>
      </c>
      <c r="W205" s="9">
        <f t="shared" si="64"/>
        <v>936438.72000000009</v>
      </c>
      <c r="Y205">
        <f t="shared" si="65"/>
        <v>2.0994974777357863E-3</v>
      </c>
      <c r="Z205" s="12">
        <f t="shared" si="75"/>
        <v>0.70076280583562622</v>
      </c>
      <c r="AA205" t="str">
        <f t="shared" si="66"/>
        <v>A</v>
      </c>
      <c r="AB205" t="str">
        <f t="shared" si="67"/>
        <v>Y</v>
      </c>
      <c r="AC205" t="str">
        <f t="shared" si="68"/>
        <v>AY</v>
      </c>
      <c r="AD205" t="str">
        <f t="shared" si="69"/>
        <v>Frequent Monitoring</v>
      </c>
      <c r="AE205" t="str">
        <f t="shared" si="70"/>
        <v>Every 2 Days</v>
      </c>
      <c r="AF205" t="str">
        <f t="shared" si="71"/>
        <v>Frequent Monitoring</v>
      </c>
      <c r="AG205" t="str">
        <f t="shared" si="72"/>
        <v>High</v>
      </c>
      <c r="AH205">
        <f t="shared" si="73"/>
        <v>70</v>
      </c>
      <c r="AI205" t="str">
        <f t="shared" si="74"/>
        <v>Critical</v>
      </c>
    </row>
    <row r="206" spans="1:35">
      <c r="A206" t="s">
        <v>502</v>
      </c>
      <c r="B206" t="s">
        <v>40</v>
      </c>
      <c r="C206" t="s">
        <v>22</v>
      </c>
      <c r="D206" t="s">
        <v>25</v>
      </c>
      <c r="E206">
        <v>313</v>
      </c>
      <c r="F206">
        <v>294</v>
      </c>
      <c r="G206">
        <v>68</v>
      </c>
      <c r="H206">
        <v>27</v>
      </c>
      <c r="I206">
        <v>263.39999999999998</v>
      </c>
      <c r="J206">
        <v>0.24</v>
      </c>
      <c r="K206">
        <v>863</v>
      </c>
      <c r="L206">
        <v>0.92</v>
      </c>
      <c r="M206">
        <v>2</v>
      </c>
      <c r="N206" s="1">
        <f t="shared" si="57"/>
        <v>9.8000000000000007</v>
      </c>
      <c r="O206" s="1">
        <f>N206*(1+Control_Panel!$B$2)</f>
        <v>9.8000000000000007</v>
      </c>
      <c r="P206" s="12">
        <f t="shared" si="58"/>
        <v>0.23129251700680273</v>
      </c>
      <c r="Q206" t="str" cm="1">
        <f t="array" ref="Q206">_xlfn.IFS(P206&lt;0.2,"Stable",P206&lt;=0.5,"Moderate",P206&gt;0.5,"Highly veriable")</f>
        <v>Moderate</v>
      </c>
      <c r="R206" s="1">
        <f t="shared" si="59"/>
        <v>353.33836474405098</v>
      </c>
      <c r="S206" s="1">
        <f t="shared" si="60"/>
        <v>390.13836474405099</v>
      </c>
      <c r="T206" s="1">
        <f t="shared" si="61"/>
        <v>-77.138364744050989</v>
      </c>
      <c r="U206" t="str">
        <f t="shared" si="62"/>
        <v xml:space="preserve"> Need to Order</v>
      </c>
      <c r="V206">
        <f t="shared" si="63"/>
        <v>3528</v>
      </c>
      <c r="W206" s="9">
        <f t="shared" si="64"/>
        <v>929275.2</v>
      </c>
      <c r="Y206">
        <f t="shared" si="65"/>
        <v>2.0834368516099142E-3</v>
      </c>
      <c r="Z206" s="12">
        <f t="shared" si="75"/>
        <v>0.70284624268723617</v>
      </c>
      <c r="AA206" t="str">
        <f t="shared" si="66"/>
        <v>A</v>
      </c>
      <c r="AB206" t="str">
        <f t="shared" si="67"/>
        <v>Y</v>
      </c>
      <c r="AC206" t="str">
        <f t="shared" si="68"/>
        <v>AY</v>
      </c>
      <c r="AD206" t="str">
        <f t="shared" si="69"/>
        <v>Frequent Monitoring</v>
      </c>
      <c r="AE206" t="str">
        <f t="shared" si="70"/>
        <v>Every 2 Days</v>
      </c>
      <c r="AF206" t="str">
        <f t="shared" si="71"/>
        <v>Frequent Monitoring</v>
      </c>
      <c r="AG206" t="str">
        <f t="shared" si="72"/>
        <v>High</v>
      </c>
      <c r="AH206">
        <f t="shared" si="73"/>
        <v>50</v>
      </c>
      <c r="AI206" t="str">
        <f t="shared" si="74"/>
        <v>Medium</v>
      </c>
    </row>
    <row r="207" spans="1:35">
      <c r="A207" t="s">
        <v>78</v>
      </c>
      <c r="B207" t="s">
        <v>29</v>
      </c>
      <c r="C207" t="s">
        <v>22</v>
      </c>
      <c r="D207" t="s">
        <v>16</v>
      </c>
      <c r="E207">
        <v>202</v>
      </c>
      <c r="F207">
        <v>289</v>
      </c>
      <c r="G207">
        <v>75</v>
      </c>
      <c r="H207">
        <v>1</v>
      </c>
      <c r="I207">
        <v>267.36</v>
      </c>
      <c r="J207">
        <v>0.15</v>
      </c>
      <c r="K207">
        <v>483</v>
      </c>
      <c r="L207">
        <v>0.7</v>
      </c>
      <c r="M207">
        <v>2</v>
      </c>
      <c r="N207" s="1">
        <f t="shared" si="57"/>
        <v>9.6333333333333329</v>
      </c>
      <c r="O207" s="1">
        <f>N207*(1+Control_Panel!$B$2)</f>
        <v>9.6333333333333329</v>
      </c>
      <c r="P207" s="12">
        <f t="shared" si="58"/>
        <v>0.25951557093425603</v>
      </c>
      <c r="Q207" t="str" cm="1">
        <f t="array" ref="Q207">_xlfn.IFS(P207&lt;0.2,"Stable",P207&lt;=0.5,"Moderate",P207&gt;0.5,"Highly veriable")</f>
        <v>Moderate</v>
      </c>
      <c r="R207" s="1">
        <f t="shared" si="59"/>
        <v>75</v>
      </c>
      <c r="S207" s="1">
        <f t="shared" si="60"/>
        <v>85.633333333333326</v>
      </c>
      <c r="T207" s="1">
        <f t="shared" si="61"/>
        <v>116.36666666666667</v>
      </c>
      <c r="U207" t="str">
        <f t="shared" si="62"/>
        <v xml:space="preserve"> Safe</v>
      </c>
      <c r="V207">
        <f t="shared" si="63"/>
        <v>3468</v>
      </c>
      <c r="W207" s="9">
        <f t="shared" si="64"/>
        <v>927204.4800000001</v>
      </c>
      <c r="Y207">
        <f t="shared" si="65"/>
        <v>2.0787942932403748E-3</v>
      </c>
      <c r="Z207" s="12">
        <f t="shared" si="75"/>
        <v>0.70492503698047659</v>
      </c>
      <c r="AA207" t="str">
        <f t="shared" si="66"/>
        <v>A</v>
      </c>
      <c r="AB207" t="str">
        <f t="shared" si="67"/>
        <v>Y</v>
      </c>
      <c r="AC207" t="str">
        <f t="shared" si="68"/>
        <v>AY</v>
      </c>
      <c r="AD207" t="str">
        <f t="shared" si="69"/>
        <v>Frequent Monitoring</v>
      </c>
      <c r="AE207" t="str">
        <f t="shared" si="70"/>
        <v>Every 2 Days</v>
      </c>
      <c r="AF207" t="str">
        <f t="shared" si="71"/>
        <v>Frequent Monitoring</v>
      </c>
      <c r="AG207" t="str">
        <f t="shared" si="72"/>
        <v>High</v>
      </c>
      <c r="AH207">
        <f t="shared" si="73"/>
        <v>50</v>
      </c>
      <c r="AI207" t="str">
        <f t="shared" si="74"/>
        <v>Medium</v>
      </c>
    </row>
    <row r="208" spans="1:35">
      <c r="A208" t="s">
        <v>155</v>
      </c>
      <c r="B208" t="s">
        <v>38</v>
      </c>
      <c r="C208" t="s">
        <v>15</v>
      </c>
      <c r="D208" t="s">
        <v>41</v>
      </c>
      <c r="E208">
        <v>763</v>
      </c>
      <c r="F208">
        <v>182</v>
      </c>
      <c r="G208">
        <v>88</v>
      </c>
      <c r="H208">
        <v>29</v>
      </c>
      <c r="I208">
        <v>422.97</v>
      </c>
      <c r="J208">
        <v>0.23</v>
      </c>
      <c r="K208">
        <v>736</v>
      </c>
      <c r="L208">
        <v>0.93</v>
      </c>
      <c r="M208">
        <v>5</v>
      </c>
      <c r="N208" s="1">
        <f t="shared" si="57"/>
        <v>6.0666666666666664</v>
      </c>
      <c r="O208" s="1">
        <f>N208*(1+Control_Panel!$B$2)</f>
        <v>6.0666666666666664</v>
      </c>
      <c r="P208" s="12">
        <f t="shared" si="58"/>
        <v>0.48351648351648352</v>
      </c>
      <c r="Q208" t="str" cm="1">
        <f t="array" ref="Q208">_xlfn.IFS(P208&lt;0.2,"Stable",P208&lt;=0.5,"Moderate",P208&gt;0.5,"Highly veriable")</f>
        <v>Moderate</v>
      </c>
      <c r="R208" s="1">
        <f t="shared" si="59"/>
        <v>473.89450302783632</v>
      </c>
      <c r="S208" s="1">
        <f t="shared" si="60"/>
        <v>508.96116969450298</v>
      </c>
      <c r="T208" s="1">
        <f t="shared" si="61"/>
        <v>254.03883030549702</v>
      </c>
      <c r="U208" t="str">
        <f t="shared" si="62"/>
        <v xml:space="preserve"> Risk</v>
      </c>
      <c r="V208">
        <f t="shared" si="63"/>
        <v>2184</v>
      </c>
      <c r="W208" s="9">
        <f t="shared" si="64"/>
        <v>923766.4800000001</v>
      </c>
      <c r="Y208">
        <f t="shared" si="65"/>
        <v>2.0710862903841332E-3</v>
      </c>
      <c r="Z208" s="12">
        <f t="shared" si="75"/>
        <v>0.7069961232708607</v>
      </c>
      <c r="AA208" t="str">
        <f t="shared" si="66"/>
        <v>A</v>
      </c>
      <c r="AB208" t="str">
        <f t="shared" si="67"/>
        <v>Y</v>
      </c>
      <c r="AC208" t="str">
        <f t="shared" si="68"/>
        <v>AY</v>
      </c>
      <c r="AD208" t="str">
        <f t="shared" si="69"/>
        <v>Frequent Monitoring</v>
      </c>
      <c r="AE208" t="str">
        <f t="shared" si="70"/>
        <v>Every 2 Days</v>
      </c>
      <c r="AF208" t="str">
        <f t="shared" si="71"/>
        <v>Frequent Monitoring</v>
      </c>
      <c r="AG208" t="str">
        <f t="shared" si="72"/>
        <v>High</v>
      </c>
      <c r="AH208">
        <f t="shared" si="73"/>
        <v>60</v>
      </c>
      <c r="AI208" t="str">
        <f t="shared" si="74"/>
        <v>High</v>
      </c>
    </row>
    <row r="209" spans="1:35">
      <c r="A209" t="s">
        <v>388</v>
      </c>
      <c r="B209" t="s">
        <v>21</v>
      </c>
      <c r="C209" t="s">
        <v>22</v>
      </c>
      <c r="D209" t="s">
        <v>25</v>
      </c>
      <c r="E209">
        <v>947</v>
      </c>
      <c r="F209">
        <v>269</v>
      </c>
      <c r="G209">
        <v>50</v>
      </c>
      <c r="H209">
        <v>25</v>
      </c>
      <c r="I209">
        <v>285.91000000000003</v>
      </c>
      <c r="J209">
        <v>0.15</v>
      </c>
      <c r="K209">
        <v>886</v>
      </c>
      <c r="L209">
        <v>0.85</v>
      </c>
      <c r="M209">
        <v>1</v>
      </c>
      <c r="N209" s="1">
        <f t="shared" si="57"/>
        <v>8.9666666666666668</v>
      </c>
      <c r="O209" s="1">
        <f>N209*(1+Control_Panel!$B$2)</f>
        <v>8.9666666666666668</v>
      </c>
      <c r="P209" s="12">
        <f t="shared" si="58"/>
        <v>0.18587360594795538</v>
      </c>
      <c r="Q209" t="str" cm="1">
        <f t="array" ref="Q209">_xlfn.IFS(P209&lt;0.2,"Stable",P209&lt;=0.5,"Moderate",P209&gt;0.5,"Highly veriable")</f>
        <v>Stable</v>
      </c>
      <c r="R209" s="1">
        <f t="shared" si="59"/>
        <v>250</v>
      </c>
      <c r="S209" s="1">
        <f t="shared" si="60"/>
        <v>283.9666666666667</v>
      </c>
      <c r="T209" s="1">
        <f t="shared" si="61"/>
        <v>663.0333333333333</v>
      </c>
      <c r="U209" t="str">
        <f t="shared" si="62"/>
        <v xml:space="preserve"> Safe</v>
      </c>
      <c r="V209">
        <f t="shared" si="63"/>
        <v>3228</v>
      </c>
      <c r="W209" s="9">
        <f t="shared" si="64"/>
        <v>922917.4800000001</v>
      </c>
      <c r="Y209">
        <f t="shared" si="65"/>
        <v>2.0691828306910122E-3</v>
      </c>
      <c r="Z209" s="12">
        <f t="shared" si="75"/>
        <v>0.70906530610155172</v>
      </c>
      <c r="AA209" t="str">
        <f t="shared" si="66"/>
        <v>A</v>
      </c>
      <c r="AB209" t="str">
        <f t="shared" si="67"/>
        <v>X</v>
      </c>
      <c r="AC209" t="str">
        <f t="shared" si="68"/>
        <v>AX</v>
      </c>
      <c r="AD209" t="str">
        <f t="shared" si="69"/>
        <v>Strict Control</v>
      </c>
      <c r="AE209" t="str">
        <f t="shared" si="70"/>
        <v>Daily</v>
      </c>
      <c r="AF209" t="str">
        <f t="shared" si="71"/>
        <v>Strict Replenishment</v>
      </c>
      <c r="AG209" t="str">
        <f t="shared" si="72"/>
        <v>Low</v>
      </c>
      <c r="AH209">
        <f t="shared" si="73"/>
        <v>40</v>
      </c>
      <c r="AI209" t="str">
        <f t="shared" si="74"/>
        <v>Low</v>
      </c>
    </row>
    <row r="210" spans="1:35">
      <c r="A210" t="s">
        <v>111</v>
      </c>
      <c r="B210" t="s">
        <v>40</v>
      </c>
      <c r="C210" t="s">
        <v>22</v>
      </c>
      <c r="D210" t="s">
        <v>16</v>
      </c>
      <c r="E210">
        <v>223</v>
      </c>
      <c r="F210">
        <v>264</v>
      </c>
      <c r="G210">
        <v>15</v>
      </c>
      <c r="H210">
        <v>26</v>
      </c>
      <c r="I210">
        <v>290.06</v>
      </c>
      <c r="J210">
        <v>7.0000000000000007E-2</v>
      </c>
      <c r="K210">
        <v>949</v>
      </c>
      <c r="L210">
        <v>0.71</v>
      </c>
      <c r="M210">
        <v>8</v>
      </c>
      <c r="N210" s="1">
        <f t="shared" si="57"/>
        <v>8.8000000000000007</v>
      </c>
      <c r="O210" s="1">
        <f>N210*(1+Control_Panel!$B$2)</f>
        <v>8.8000000000000007</v>
      </c>
      <c r="P210" s="12">
        <f t="shared" si="58"/>
        <v>5.6818181818181816E-2</v>
      </c>
      <c r="Q210" t="str" cm="1">
        <f t="array" ref="Q210">_xlfn.IFS(P210&lt;0.2,"Stable",P210&lt;=0.5,"Moderate",P210&gt;0.5,"Highly veriable")</f>
        <v>Stable</v>
      </c>
      <c r="R210" s="1">
        <f t="shared" si="59"/>
        <v>76.485292703891773</v>
      </c>
      <c r="S210" s="1">
        <f t="shared" si="60"/>
        <v>111.28529270389177</v>
      </c>
      <c r="T210" s="1">
        <f t="shared" si="61"/>
        <v>111.71470729610823</v>
      </c>
      <c r="U210" t="str">
        <f t="shared" si="62"/>
        <v xml:space="preserve"> Safe</v>
      </c>
      <c r="V210">
        <f t="shared" si="63"/>
        <v>3168</v>
      </c>
      <c r="W210" s="9">
        <f t="shared" si="64"/>
        <v>918910.08</v>
      </c>
      <c r="Y210">
        <f t="shared" si="65"/>
        <v>2.0601982318992421E-3</v>
      </c>
      <c r="Z210" s="12">
        <f t="shared" si="75"/>
        <v>0.71112550433345101</v>
      </c>
      <c r="AA210" t="str">
        <f t="shared" si="66"/>
        <v>A</v>
      </c>
      <c r="AB210" t="str">
        <f t="shared" si="67"/>
        <v>X</v>
      </c>
      <c r="AC210" t="str">
        <f t="shared" si="68"/>
        <v>AX</v>
      </c>
      <c r="AD210" t="str">
        <f t="shared" si="69"/>
        <v>Strict Control</v>
      </c>
      <c r="AE210" t="str">
        <f t="shared" si="70"/>
        <v>Daily</v>
      </c>
      <c r="AF210" t="str">
        <f t="shared" si="71"/>
        <v>Strict Replenishment</v>
      </c>
      <c r="AG210" t="str">
        <f t="shared" si="72"/>
        <v>Low</v>
      </c>
      <c r="AH210">
        <f t="shared" si="73"/>
        <v>60</v>
      </c>
      <c r="AI210" t="str">
        <f t="shared" si="74"/>
        <v>High</v>
      </c>
    </row>
    <row r="211" spans="1:35">
      <c r="A211" t="s">
        <v>27</v>
      </c>
      <c r="B211" t="s">
        <v>18</v>
      </c>
      <c r="C211" t="s">
        <v>15</v>
      </c>
      <c r="D211" t="s">
        <v>16</v>
      </c>
      <c r="E211">
        <v>871</v>
      </c>
      <c r="F211">
        <v>377</v>
      </c>
      <c r="G211">
        <v>62</v>
      </c>
      <c r="H211">
        <v>10</v>
      </c>
      <c r="I211">
        <v>202.65</v>
      </c>
      <c r="J211">
        <v>0.24</v>
      </c>
      <c r="K211">
        <v>685</v>
      </c>
      <c r="L211">
        <v>0.88</v>
      </c>
      <c r="M211">
        <v>7</v>
      </c>
      <c r="N211" s="1">
        <f t="shared" si="57"/>
        <v>12.566666666666666</v>
      </c>
      <c r="O211" s="1">
        <f>N211*(1+Control_Panel!$B$2)</f>
        <v>12.566666666666666</v>
      </c>
      <c r="P211" s="12">
        <f t="shared" si="58"/>
        <v>0.16445623342175067</v>
      </c>
      <c r="Q211" t="str" cm="1">
        <f t="array" ref="Q211">_xlfn.IFS(P211&lt;0.2,"Stable",P211&lt;=0.5,"Moderate",P211&gt;0.5,"Highly veriable")</f>
        <v>Stable</v>
      </c>
      <c r="R211" s="1">
        <f t="shared" si="59"/>
        <v>196.06121493043952</v>
      </c>
      <c r="S211" s="1">
        <f t="shared" si="60"/>
        <v>218.62788159710618</v>
      </c>
      <c r="T211" s="1">
        <f t="shared" si="61"/>
        <v>652.37211840289388</v>
      </c>
      <c r="U211" t="str">
        <f t="shared" si="62"/>
        <v xml:space="preserve"> Safe</v>
      </c>
      <c r="V211">
        <f t="shared" si="63"/>
        <v>4524</v>
      </c>
      <c r="W211" s="9">
        <f t="shared" si="64"/>
        <v>916788.6</v>
      </c>
      <c r="Y211">
        <f t="shared" si="65"/>
        <v>2.0554418695084742E-3</v>
      </c>
      <c r="Z211" s="12">
        <f t="shared" si="75"/>
        <v>0.71318094620295946</v>
      </c>
      <c r="AA211" t="str">
        <f t="shared" si="66"/>
        <v>A</v>
      </c>
      <c r="AB211" t="str">
        <f t="shared" si="67"/>
        <v>X</v>
      </c>
      <c r="AC211" t="str">
        <f t="shared" si="68"/>
        <v>AX</v>
      </c>
      <c r="AD211" t="str">
        <f t="shared" si="69"/>
        <v>Strict Control</v>
      </c>
      <c r="AE211" t="str">
        <f t="shared" si="70"/>
        <v>Daily</v>
      </c>
      <c r="AF211" t="str">
        <f t="shared" si="71"/>
        <v>Strict Replenishment</v>
      </c>
      <c r="AG211" t="str">
        <f t="shared" si="72"/>
        <v>Low</v>
      </c>
      <c r="AH211">
        <f t="shared" si="73"/>
        <v>50</v>
      </c>
      <c r="AI211" t="str">
        <f t="shared" si="74"/>
        <v>Medium</v>
      </c>
    </row>
    <row r="212" spans="1:35">
      <c r="A212" t="s">
        <v>250</v>
      </c>
      <c r="B212" t="s">
        <v>38</v>
      </c>
      <c r="C212" t="s">
        <v>22</v>
      </c>
      <c r="D212" t="s">
        <v>23</v>
      </c>
      <c r="E212">
        <v>675</v>
      </c>
      <c r="F212">
        <v>257</v>
      </c>
      <c r="G212">
        <v>17</v>
      </c>
      <c r="H212">
        <v>27</v>
      </c>
      <c r="I212">
        <v>296.79000000000002</v>
      </c>
      <c r="J212">
        <v>0.05</v>
      </c>
      <c r="K212">
        <v>702</v>
      </c>
      <c r="L212">
        <v>0.83</v>
      </c>
      <c r="M212">
        <v>3</v>
      </c>
      <c r="N212" s="1">
        <f t="shared" si="57"/>
        <v>8.5666666666666664</v>
      </c>
      <c r="O212" s="1">
        <f>N212*(1+Control_Panel!$B$2)</f>
        <v>8.5666666666666664</v>
      </c>
      <c r="P212" s="12">
        <f t="shared" si="58"/>
        <v>6.6147859922178989E-2</v>
      </c>
      <c r="Q212" t="str" cm="1">
        <f t="array" ref="Q212">_xlfn.IFS(P212&lt;0.2,"Stable",P212&lt;=0.5,"Moderate",P212&gt;0.5,"Highly veriable")</f>
        <v>Stable</v>
      </c>
      <c r="R212" s="1">
        <f t="shared" si="59"/>
        <v>88.334591186012744</v>
      </c>
      <c r="S212" s="1">
        <f t="shared" si="60"/>
        <v>123.90125785267941</v>
      </c>
      <c r="T212" s="1">
        <f t="shared" si="61"/>
        <v>551.09874214732054</v>
      </c>
      <c r="U212" t="str">
        <f t="shared" si="62"/>
        <v xml:space="preserve"> Safe</v>
      </c>
      <c r="V212">
        <f t="shared" si="63"/>
        <v>3084</v>
      </c>
      <c r="W212" s="9">
        <f t="shared" si="64"/>
        <v>915300.3600000001</v>
      </c>
      <c r="Y212">
        <f t="shared" si="65"/>
        <v>2.0521052324605472E-3</v>
      </c>
      <c r="Z212" s="12">
        <f t="shared" si="75"/>
        <v>0.71523305143542004</v>
      </c>
      <c r="AA212" t="str">
        <f t="shared" si="66"/>
        <v>A</v>
      </c>
      <c r="AB212" t="str">
        <f t="shared" si="67"/>
        <v>X</v>
      </c>
      <c r="AC212" t="str">
        <f t="shared" si="68"/>
        <v>AX</v>
      </c>
      <c r="AD212" t="str">
        <f t="shared" si="69"/>
        <v>Strict Control</v>
      </c>
      <c r="AE212" t="str">
        <f t="shared" si="70"/>
        <v>Daily</v>
      </c>
      <c r="AF212" t="str">
        <f t="shared" si="71"/>
        <v>Strict Replenishment</v>
      </c>
      <c r="AG212" t="str">
        <f t="shared" si="72"/>
        <v>Low</v>
      </c>
      <c r="AH212">
        <f t="shared" si="73"/>
        <v>40</v>
      </c>
      <c r="AI212" t="str">
        <f t="shared" si="74"/>
        <v>Low</v>
      </c>
    </row>
    <row r="213" spans="1:35">
      <c r="A213" t="s">
        <v>85</v>
      </c>
      <c r="B213" t="s">
        <v>29</v>
      </c>
      <c r="C213" t="s">
        <v>22</v>
      </c>
      <c r="D213" t="s">
        <v>19</v>
      </c>
      <c r="E213">
        <v>125</v>
      </c>
      <c r="F213">
        <v>178</v>
      </c>
      <c r="G213">
        <v>66</v>
      </c>
      <c r="H213">
        <v>15</v>
      </c>
      <c r="I213">
        <v>422.96</v>
      </c>
      <c r="J213">
        <v>0.16</v>
      </c>
      <c r="K213">
        <v>695</v>
      </c>
      <c r="L213">
        <v>0.73</v>
      </c>
      <c r="M213">
        <v>7</v>
      </c>
      <c r="N213" s="1">
        <f t="shared" si="57"/>
        <v>5.9333333333333336</v>
      </c>
      <c r="O213" s="1">
        <f>N213*(1+Control_Panel!$B$2)</f>
        <v>5.9333333333333336</v>
      </c>
      <c r="P213" s="12">
        <f t="shared" si="58"/>
        <v>0.3707865168539326</v>
      </c>
      <c r="Q213" t="str" cm="1">
        <f t="array" ref="Q213">_xlfn.IFS(P213&lt;0.2,"Stable",P213&lt;=0.5,"Moderate",P213&gt;0.5,"Highly veriable")</f>
        <v>Moderate</v>
      </c>
      <c r="R213" s="1">
        <f t="shared" si="59"/>
        <v>255.61690084968953</v>
      </c>
      <c r="S213" s="1">
        <f t="shared" si="60"/>
        <v>276.55023418302284</v>
      </c>
      <c r="T213" s="1">
        <f t="shared" si="61"/>
        <v>-151.55023418302284</v>
      </c>
      <c r="U213" t="str">
        <f t="shared" si="62"/>
        <v xml:space="preserve"> Need to Order</v>
      </c>
      <c r="V213">
        <f t="shared" si="63"/>
        <v>2136</v>
      </c>
      <c r="W213" s="9">
        <f t="shared" si="64"/>
        <v>903442.55999999994</v>
      </c>
      <c r="Y213">
        <f t="shared" si="65"/>
        <v>2.0255200212130928E-3</v>
      </c>
      <c r="Z213" s="12">
        <f t="shared" si="75"/>
        <v>0.71725857145663319</v>
      </c>
      <c r="AA213" t="str">
        <f t="shared" si="66"/>
        <v>A</v>
      </c>
      <c r="AB213" t="str">
        <f t="shared" si="67"/>
        <v>Y</v>
      </c>
      <c r="AC213" t="str">
        <f t="shared" si="68"/>
        <v>AY</v>
      </c>
      <c r="AD213" t="str">
        <f t="shared" si="69"/>
        <v>Frequent Monitoring</v>
      </c>
      <c r="AE213" t="str">
        <f t="shared" si="70"/>
        <v>Every 2 Days</v>
      </c>
      <c r="AF213" t="str">
        <f t="shared" si="71"/>
        <v>Frequent Monitoring</v>
      </c>
      <c r="AG213" t="str">
        <f t="shared" si="72"/>
        <v>High</v>
      </c>
      <c r="AH213">
        <f t="shared" si="73"/>
        <v>60</v>
      </c>
      <c r="AI213" t="str">
        <f t="shared" si="74"/>
        <v>High</v>
      </c>
    </row>
    <row r="214" spans="1:35">
      <c r="A214" t="s">
        <v>428</v>
      </c>
      <c r="B214" t="s">
        <v>14</v>
      </c>
      <c r="C214" t="s">
        <v>22</v>
      </c>
      <c r="D214" t="s">
        <v>25</v>
      </c>
      <c r="E214">
        <v>703</v>
      </c>
      <c r="F214">
        <v>227</v>
      </c>
      <c r="G214">
        <v>96</v>
      </c>
      <c r="H214">
        <v>9</v>
      </c>
      <c r="I214">
        <v>329.54</v>
      </c>
      <c r="J214">
        <v>0.19</v>
      </c>
      <c r="K214">
        <v>547</v>
      </c>
      <c r="L214">
        <v>0.83</v>
      </c>
      <c r="M214">
        <v>8</v>
      </c>
      <c r="N214" s="1">
        <f t="shared" si="57"/>
        <v>7.5666666666666664</v>
      </c>
      <c r="O214" s="1">
        <f>N214*(1+Control_Panel!$B$2)</f>
        <v>7.5666666666666664</v>
      </c>
      <c r="P214" s="12">
        <f t="shared" si="58"/>
        <v>0.42290748898678415</v>
      </c>
      <c r="Q214" t="str" cm="1">
        <f t="array" ref="Q214">_xlfn.IFS(P214&lt;0.2,"Stable",P214&lt;=0.5,"Moderate",P214&gt;0.5,"Highly veriable")</f>
        <v>Moderate</v>
      </c>
      <c r="R214" s="1">
        <f t="shared" si="59"/>
        <v>288</v>
      </c>
      <c r="S214" s="1">
        <f t="shared" si="60"/>
        <v>304.56666666666666</v>
      </c>
      <c r="T214" s="1">
        <f t="shared" si="61"/>
        <v>398.43333333333334</v>
      </c>
      <c r="U214" t="str">
        <f t="shared" si="62"/>
        <v xml:space="preserve"> Safe</v>
      </c>
      <c r="V214">
        <f t="shared" si="63"/>
        <v>2724</v>
      </c>
      <c r="W214" s="9">
        <f t="shared" si="64"/>
        <v>897666.96000000008</v>
      </c>
      <c r="Y214">
        <f t="shared" si="65"/>
        <v>2.0125711144950852E-3</v>
      </c>
      <c r="Z214" s="12">
        <f t="shared" si="75"/>
        <v>0.71927114257112823</v>
      </c>
      <c r="AA214" t="str">
        <f t="shared" si="66"/>
        <v>A</v>
      </c>
      <c r="AB214" t="str">
        <f t="shared" si="67"/>
        <v>Y</v>
      </c>
      <c r="AC214" t="str">
        <f t="shared" si="68"/>
        <v>AY</v>
      </c>
      <c r="AD214" t="str">
        <f t="shared" si="69"/>
        <v>Frequent Monitoring</v>
      </c>
      <c r="AE214" t="str">
        <f t="shared" si="70"/>
        <v>Every 2 Days</v>
      </c>
      <c r="AF214" t="str">
        <f t="shared" si="71"/>
        <v>Frequent Monitoring</v>
      </c>
      <c r="AG214" t="str">
        <f t="shared" si="72"/>
        <v>High</v>
      </c>
      <c r="AH214">
        <f t="shared" si="73"/>
        <v>70</v>
      </c>
      <c r="AI214" t="str">
        <f t="shared" si="74"/>
        <v>Critical</v>
      </c>
    </row>
    <row r="215" spans="1:35">
      <c r="A215" t="s">
        <v>295</v>
      </c>
      <c r="B215" t="s">
        <v>40</v>
      </c>
      <c r="C215" t="s">
        <v>15</v>
      </c>
      <c r="D215" t="s">
        <v>25</v>
      </c>
      <c r="E215">
        <v>985</v>
      </c>
      <c r="F215">
        <v>184</v>
      </c>
      <c r="G215">
        <v>9</v>
      </c>
      <c r="H215">
        <v>12</v>
      </c>
      <c r="I215">
        <v>403.94</v>
      </c>
      <c r="J215">
        <v>0.05</v>
      </c>
      <c r="K215">
        <v>192</v>
      </c>
      <c r="L215">
        <v>0.78</v>
      </c>
      <c r="M215">
        <v>5</v>
      </c>
      <c r="N215" s="1">
        <f t="shared" si="57"/>
        <v>6.1333333333333337</v>
      </c>
      <c r="O215" s="1">
        <f>N215*(1+Control_Panel!$B$2)</f>
        <v>6.1333333333333337</v>
      </c>
      <c r="P215" s="12">
        <f t="shared" si="58"/>
        <v>4.8913043478260872E-2</v>
      </c>
      <c r="Q215" t="str" cm="1">
        <f t="array" ref="Q215">_xlfn.IFS(P215&lt;0.2,"Stable",P215&lt;=0.5,"Moderate",P215&gt;0.5,"Highly veriable")</f>
        <v>Stable</v>
      </c>
      <c r="R215" s="1">
        <f t="shared" si="59"/>
        <v>31.176914536239789</v>
      </c>
      <c r="S215" s="1">
        <f t="shared" si="60"/>
        <v>49.310247869573118</v>
      </c>
      <c r="T215" s="1">
        <f t="shared" si="61"/>
        <v>935.68975213042688</v>
      </c>
      <c r="U215" t="str">
        <f t="shared" si="62"/>
        <v xml:space="preserve"> Safe</v>
      </c>
      <c r="V215">
        <f t="shared" si="63"/>
        <v>2208</v>
      </c>
      <c r="W215" s="9">
        <f t="shared" si="64"/>
        <v>891899.52</v>
      </c>
      <c r="Y215">
        <f t="shared" si="65"/>
        <v>1.99964050251335E-3</v>
      </c>
      <c r="Z215" s="12">
        <f t="shared" si="75"/>
        <v>0.72127078307364156</v>
      </c>
      <c r="AA215" t="str">
        <f t="shared" si="66"/>
        <v>A</v>
      </c>
      <c r="AB215" t="str">
        <f t="shared" si="67"/>
        <v>X</v>
      </c>
      <c r="AC215" t="str">
        <f t="shared" si="68"/>
        <v>AX</v>
      </c>
      <c r="AD215" t="str">
        <f t="shared" si="69"/>
        <v>Strict Control</v>
      </c>
      <c r="AE215" t="str">
        <f t="shared" si="70"/>
        <v>Daily</v>
      </c>
      <c r="AF215" t="str">
        <f t="shared" si="71"/>
        <v>Strict Replenishment</v>
      </c>
      <c r="AG215" t="str">
        <f t="shared" si="72"/>
        <v>Low</v>
      </c>
      <c r="AH215">
        <f t="shared" si="73"/>
        <v>50</v>
      </c>
      <c r="AI215" t="str">
        <f t="shared" si="74"/>
        <v>Medium</v>
      </c>
    </row>
    <row r="216" spans="1:35">
      <c r="A216" t="s">
        <v>117</v>
      </c>
      <c r="B216" t="s">
        <v>14</v>
      </c>
      <c r="C216" t="s">
        <v>15</v>
      </c>
      <c r="D216" t="s">
        <v>23</v>
      </c>
      <c r="E216">
        <v>740</v>
      </c>
      <c r="F216">
        <v>474</v>
      </c>
      <c r="G216">
        <v>23</v>
      </c>
      <c r="H216">
        <v>23</v>
      </c>
      <c r="I216">
        <v>155.22</v>
      </c>
      <c r="J216">
        <v>7.0000000000000007E-2</v>
      </c>
      <c r="K216">
        <v>167</v>
      </c>
      <c r="L216">
        <v>0.98</v>
      </c>
      <c r="M216">
        <v>5</v>
      </c>
      <c r="N216" s="1">
        <f t="shared" si="57"/>
        <v>15.8</v>
      </c>
      <c r="O216" s="1">
        <f>N216*(1+Control_Panel!$B$2)</f>
        <v>15.8</v>
      </c>
      <c r="P216" s="12">
        <f t="shared" si="58"/>
        <v>4.852320675105485E-2</v>
      </c>
      <c r="Q216" t="str" cm="1">
        <f t="array" ref="Q216">_xlfn.IFS(P216&lt;0.2,"Stable",P216&lt;=0.5,"Moderate",P216&gt;0.5,"Highly veriable")</f>
        <v>Stable</v>
      </c>
      <c r="R216" s="1">
        <f t="shared" si="59"/>
        <v>110.30412503619254</v>
      </c>
      <c r="S216" s="1">
        <f t="shared" si="60"/>
        <v>149.10412503619256</v>
      </c>
      <c r="T216" s="1">
        <f t="shared" si="61"/>
        <v>590.8958749638075</v>
      </c>
      <c r="U216" t="str">
        <f t="shared" si="62"/>
        <v xml:space="preserve"> Safe</v>
      </c>
      <c r="V216">
        <f t="shared" si="63"/>
        <v>5688</v>
      </c>
      <c r="W216" s="9">
        <f t="shared" si="64"/>
        <v>882891.36</v>
      </c>
      <c r="Y216">
        <f t="shared" si="65"/>
        <v>1.9794441898287993E-3</v>
      </c>
      <c r="Z216" s="12">
        <f t="shared" si="75"/>
        <v>0.72325022726347032</v>
      </c>
      <c r="AA216" t="str">
        <f t="shared" si="66"/>
        <v>A</v>
      </c>
      <c r="AB216" t="str">
        <f t="shared" si="67"/>
        <v>X</v>
      </c>
      <c r="AC216" t="str">
        <f t="shared" si="68"/>
        <v>AX</v>
      </c>
      <c r="AD216" t="str">
        <f t="shared" si="69"/>
        <v>Strict Control</v>
      </c>
      <c r="AE216" t="str">
        <f t="shared" si="70"/>
        <v>Daily</v>
      </c>
      <c r="AF216" t="str">
        <f t="shared" si="71"/>
        <v>Strict Replenishment</v>
      </c>
      <c r="AG216" t="str">
        <f t="shared" si="72"/>
        <v>Low</v>
      </c>
      <c r="AH216">
        <f t="shared" si="73"/>
        <v>50</v>
      </c>
      <c r="AI216" t="str">
        <f t="shared" si="74"/>
        <v>Medium</v>
      </c>
    </row>
    <row r="217" spans="1:35">
      <c r="A217" t="s">
        <v>430</v>
      </c>
      <c r="B217" t="s">
        <v>36</v>
      </c>
      <c r="C217" t="s">
        <v>22</v>
      </c>
      <c r="D217" t="s">
        <v>23</v>
      </c>
      <c r="E217">
        <v>521</v>
      </c>
      <c r="F217">
        <v>268</v>
      </c>
      <c r="G217">
        <v>19</v>
      </c>
      <c r="H217">
        <v>13</v>
      </c>
      <c r="I217">
        <v>274.08</v>
      </c>
      <c r="J217">
        <v>0.08</v>
      </c>
      <c r="K217">
        <v>291</v>
      </c>
      <c r="L217">
        <v>0.96</v>
      </c>
      <c r="M217">
        <v>2</v>
      </c>
      <c r="N217" s="1">
        <f t="shared" si="57"/>
        <v>8.9333333333333336</v>
      </c>
      <c r="O217" s="1">
        <f>N217*(1+Control_Panel!$B$2)</f>
        <v>8.9333333333333336</v>
      </c>
      <c r="P217" s="12">
        <f t="shared" si="58"/>
        <v>7.0895522388059698E-2</v>
      </c>
      <c r="Q217" t="str" cm="1">
        <f t="array" ref="Q217">_xlfn.IFS(P217&lt;0.2,"Stable",P217&lt;=0.5,"Moderate",P217&gt;0.5,"Highly veriable")</f>
        <v>Stable</v>
      </c>
      <c r="R217" s="1">
        <f t="shared" si="59"/>
        <v>68.505474233815789</v>
      </c>
      <c r="S217" s="1">
        <f t="shared" si="60"/>
        <v>90.438807567149126</v>
      </c>
      <c r="T217" s="1">
        <f t="shared" si="61"/>
        <v>430.56119243285087</v>
      </c>
      <c r="U217" t="str">
        <f t="shared" si="62"/>
        <v xml:space="preserve"> Safe</v>
      </c>
      <c r="V217">
        <f t="shared" si="63"/>
        <v>3216</v>
      </c>
      <c r="W217" s="9">
        <f t="shared" si="64"/>
        <v>881441.27999999991</v>
      </c>
      <c r="Y217">
        <f t="shared" si="65"/>
        <v>1.9761931075769727E-3</v>
      </c>
      <c r="Z217" s="12">
        <f t="shared" si="75"/>
        <v>0.72522642037104734</v>
      </c>
      <c r="AA217" t="str">
        <f t="shared" si="66"/>
        <v>A</v>
      </c>
      <c r="AB217" t="str">
        <f t="shared" si="67"/>
        <v>X</v>
      </c>
      <c r="AC217" t="str">
        <f t="shared" si="68"/>
        <v>AX</v>
      </c>
      <c r="AD217" t="str">
        <f t="shared" si="69"/>
        <v>Strict Control</v>
      </c>
      <c r="AE217" t="str">
        <f t="shared" si="70"/>
        <v>Daily</v>
      </c>
      <c r="AF217" t="str">
        <f t="shared" si="71"/>
        <v>Strict Replenishment</v>
      </c>
      <c r="AG217" t="str">
        <f t="shared" si="72"/>
        <v>Low</v>
      </c>
      <c r="AH217">
        <f t="shared" si="73"/>
        <v>40</v>
      </c>
      <c r="AI217" t="str">
        <f t="shared" si="74"/>
        <v>Low</v>
      </c>
    </row>
    <row r="218" spans="1:35">
      <c r="A218" t="s">
        <v>318</v>
      </c>
      <c r="B218" t="s">
        <v>36</v>
      </c>
      <c r="C218" t="s">
        <v>22</v>
      </c>
      <c r="D218" t="s">
        <v>16</v>
      </c>
      <c r="E218">
        <v>881</v>
      </c>
      <c r="F218">
        <v>203</v>
      </c>
      <c r="G218">
        <v>18</v>
      </c>
      <c r="H218">
        <v>5</v>
      </c>
      <c r="I218">
        <v>361.79</v>
      </c>
      <c r="J218">
        <v>0.12</v>
      </c>
      <c r="K218">
        <v>164</v>
      </c>
      <c r="L218">
        <v>0.81</v>
      </c>
      <c r="M218">
        <v>9</v>
      </c>
      <c r="N218" s="1">
        <f t="shared" si="57"/>
        <v>6.7666666666666666</v>
      </c>
      <c r="O218" s="1">
        <f>N218*(1+Control_Panel!$B$2)</f>
        <v>6.7666666666666666</v>
      </c>
      <c r="P218" s="12">
        <f t="shared" si="58"/>
        <v>8.8669950738916259E-2</v>
      </c>
      <c r="Q218" t="str" cm="1">
        <f t="array" ref="Q218">_xlfn.IFS(P218&lt;0.2,"Stable",P218&lt;=0.5,"Moderate",P218&gt;0.5,"Highly veriable")</f>
        <v>Stable</v>
      </c>
      <c r="R218" s="1">
        <f t="shared" si="59"/>
        <v>40.249223594996216</v>
      </c>
      <c r="S218" s="1">
        <f t="shared" si="60"/>
        <v>52.015890261662882</v>
      </c>
      <c r="T218" s="1">
        <f t="shared" si="61"/>
        <v>828.98410973833711</v>
      </c>
      <c r="U218" t="str">
        <f t="shared" si="62"/>
        <v xml:space="preserve"> Safe</v>
      </c>
      <c r="V218">
        <f t="shared" si="63"/>
        <v>2436</v>
      </c>
      <c r="W218" s="9">
        <f t="shared" si="64"/>
        <v>881320.44000000006</v>
      </c>
      <c r="Y218">
        <f t="shared" si="65"/>
        <v>1.9759221840559876E-3</v>
      </c>
      <c r="Z218" s="12">
        <f t="shared" si="75"/>
        <v>0.7272023425551033</v>
      </c>
      <c r="AA218" t="str">
        <f t="shared" si="66"/>
        <v>A</v>
      </c>
      <c r="AB218" t="str">
        <f t="shared" si="67"/>
        <v>X</v>
      </c>
      <c r="AC218" t="str">
        <f t="shared" si="68"/>
        <v>AX</v>
      </c>
      <c r="AD218" t="str">
        <f t="shared" si="69"/>
        <v>Strict Control</v>
      </c>
      <c r="AE218" t="str">
        <f t="shared" si="70"/>
        <v>Daily</v>
      </c>
      <c r="AF218" t="str">
        <f t="shared" si="71"/>
        <v>Strict Replenishment</v>
      </c>
      <c r="AG218" t="str">
        <f t="shared" si="72"/>
        <v>Low</v>
      </c>
      <c r="AH218">
        <f t="shared" si="73"/>
        <v>60</v>
      </c>
      <c r="AI218" t="str">
        <f t="shared" si="74"/>
        <v>High</v>
      </c>
    </row>
    <row r="219" spans="1:35">
      <c r="A219" t="s">
        <v>482</v>
      </c>
      <c r="B219" t="s">
        <v>18</v>
      </c>
      <c r="C219" t="s">
        <v>22</v>
      </c>
      <c r="D219" t="s">
        <v>23</v>
      </c>
      <c r="E219">
        <v>287</v>
      </c>
      <c r="F219">
        <v>493</v>
      </c>
      <c r="G219">
        <v>24</v>
      </c>
      <c r="H219">
        <v>27</v>
      </c>
      <c r="I219">
        <v>147.59</v>
      </c>
      <c r="J219">
        <v>0.13</v>
      </c>
      <c r="K219">
        <v>286</v>
      </c>
      <c r="L219">
        <v>0.99</v>
      </c>
      <c r="M219">
        <v>6</v>
      </c>
      <c r="N219" s="1">
        <f t="shared" si="57"/>
        <v>16.433333333333334</v>
      </c>
      <c r="O219" s="1">
        <f>N219*(1+Control_Panel!$B$2)</f>
        <v>16.433333333333334</v>
      </c>
      <c r="P219" s="12">
        <f t="shared" si="58"/>
        <v>4.8681541582150101E-2</v>
      </c>
      <c r="Q219" t="str" cm="1">
        <f t="array" ref="Q219">_xlfn.IFS(P219&lt;0.2,"Stable",P219&lt;=0.5,"Moderate",P219&gt;0.5,"Highly veriable")</f>
        <v>Stable</v>
      </c>
      <c r="R219" s="1">
        <f t="shared" si="59"/>
        <v>124.70765814495917</v>
      </c>
      <c r="S219" s="1">
        <f t="shared" si="60"/>
        <v>168.14099147829251</v>
      </c>
      <c r="T219" s="1">
        <f t="shared" si="61"/>
        <v>118.85900852170749</v>
      </c>
      <c r="U219" t="str">
        <f t="shared" si="62"/>
        <v xml:space="preserve"> Risk</v>
      </c>
      <c r="V219">
        <f t="shared" si="63"/>
        <v>5916</v>
      </c>
      <c r="W219" s="9">
        <f t="shared" si="64"/>
        <v>873142.44000000006</v>
      </c>
      <c r="Y219">
        <f t="shared" si="65"/>
        <v>1.9575870917469861E-3</v>
      </c>
      <c r="Z219" s="12">
        <f t="shared" si="75"/>
        <v>0.72915992964685028</v>
      </c>
      <c r="AA219" t="str">
        <f t="shared" si="66"/>
        <v>A</v>
      </c>
      <c r="AB219" t="str">
        <f t="shared" si="67"/>
        <v>X</v>
      </c>
      <c r="AC219" t="str">
        <f t="shared" si="68"/>
        <v>AX</v>
      </c>
      <c r="AD219" t="str">
        <f t="shared" si="69"/>
        <v>Strict Control</v>
      </c>
      <c r="AE219" t="str">
        <f t="shared" si="70"/>
        <v>Daily</v>
      </c>
      <c r="AF219" t="str">
        <f t="shared" si="71"/>
        <v>Strict Replenishment</v>
      </c>
      <c r="AG219" t="str">
        <f t="shared" si="72"/>
        <v>Low</v>
      </c>
      <c r="AH219">
        <f t="shared" si="73"/>
        <v>50</v>
      </c>
      <c r="AI219" t="str">
        <f t="shared" si="74"/>
        <v>Medium</v>
      </c>
    </row>
    <row r="220" spans="1:35">
      <c r="A220" t="s">
        <v>254</v>
      </c>
      <c r="B220" t="s">
        <v>36</v>
      </c>
      <c r="C220" t="s">
        <v>15</v>
      </c>
      <c r="D220" t="s">
        <v>16</v>
      </c>
      <c r="E220">
        <v>895</v>
      </c>
      <c r="F220">
        <v>342</v>
      </c>
      <c r="G220">
        <v>94</v>
      </c>
      <c r="H220">
        <v>27</v>
      </c>
      <c r="I220">
        <v>212.03</v>
      </c>
      <c r="J220">
        <v>0.12</v>
      </c>
      <c r="K220">
        <v>872</v>
      </c>
      <c r="L220">
        <v>0.91</v>
      </c>
      <c r="M220">
        <v>9</v>
      </c>
      <c r="N220" s="1">
        <f t="shared" si="57"/>
        <v>11.4</v>
      </c>
      <c r="O220" s="1">
        <f>N220*(1+Control_Panel!$B$2)</f>
        <v>11.4</v>
      </c>
      <c r="P220" s="12">
        <f t="shared" si="58"/>
        <v>0.27485380116959063</v>
      </c>
      <c r="Q220" t="str" cm="1">
        <f t="array" ref="Q220">_xlfn.IFS(P220&lt;0.2,"Stable",P220&lt;=0.5,"Moderate",P220&gt;0.5,"Highly veriable")</f>
        <v>Moderate</v>
      </c>
      <c r="R220" s="1">
        <f t="shared" si="59"/>
        <v>488.43832773442341</v>
      </c>
      <c r="S220" s="1">
        <f t="shared" si="60"/>
        <v>526.83832773442339</v>
      </c>
      <c r="T220" s="1">
        <f t="shared" si="61"/>
        <v>368.16167226557661</v>
      </c>
      <c r="U220" t="str">
        <f t="shared" si="62"/>
        <v xml:space="preserve"> Risk</v>
      </c>
      <c r="V220">
        <f t="shared" si="63"/>
        <v>4104</v>
      </c>
      <c r="W220" s="9">
        <f t="shared" si="64"/>
        <v>870171.12</v>
      </c>
      <c r="Y220">
        <f t="shared" si="65"/>
        <v>1.9509253863814219E-3</v>
      </c>
      <c r="Z220" s="12">
        <f t="shared" si="75"/>
        <v>0.7311108550332317</v>
      </c>
      <c r="AA220" t="str">
        <f t="shared" si="66"/>
        <v>A</v>
      </c>
      <c r="AB220" t="str">
        <f t="shared" si="67"/>
        <v>Y</v>
      </c>
      <c r="AC220" t="str">
        <f t="shared" si="68"/>
        <v>AY</v>
      </c>
      <c r="AD220" t="str">
        <f t="shared" si="69"/>
        <v>Frequent Monitoring</v>
      </c>
      <c r="AE220" t="str">
        <f t="shared" si="70"/>
        <v>Every 2 Days</v>
      </c>
      <c r="AF220" t="str">
        <f t="shared" si="71"/>
        <v>Frequent Monitoring</v>
      </c>
      <c r="AG220" t="str">
        <f t="shared" si="72"/>
        <v>High</v>
      </c>
      <c r="AH220">
        <f t="shared" si="73"/>
        <v>70</v>
      </c>
      <c r="AI220" t="str">
        <f t="shared" si="74"/>
        <v>Critical</v>
      </c>
    </row>
    <row r="221" spans="1:35">
      <c r="A221" t="s">
        <v>113</v>
      </c>
      <c r="B221" t="s">
        <v>38</v>
      </c>
      <c r="C221" t="s">
        <v>22</v>
      </c>
      <c r="D221" t="s">
        <v>23</v>
      </c>
      <c r="E221">
        <v>766</v>
      </c>
      <c r="F221">
        <v>359</v>
      </c>
      <c r="G221">
        <v>21</v>
      </c>
      <c r="H221">
        <v>10</v>
      </c>
      <c r="I221">
        <v>201.19</v>
      </c>
      <c r="J221">
        <v>0.11</v>
      </c>
      <c r="K221">
        <v>522</v>
      </c>
      <c r="L221">
        <v>0.81</v>
      </c>
      <c r="M221">
        <v>8</v>
      </c>
      <c r="N221" s="1">
        <f t="shared" si="57"/>
        <v>11.966666666666667</v>
      </c>
      <c r="O221" s="1">
        <f>N221*(1+Control_Panel!$B$2)</f>
        <v>11.966666666666667</v>
      </c>
      <c r="P221" s="12">
        <f t="shared" si="58"/>
        <v>5.8495821727019497E-2</v>
      </c>
      <c r="Q221" t="str" cm="1">
        <f t="array" ref="Q221">_xlfn.IFS(P221&lt;0.2,"Stable",P221&lt;=0.5,"Moderate",P221&gt;0.5,"Highly veriable")</f>
        <v>Stable</v>
      </c>
      <c r="R221" s="1">
        <f t="shared" si="59"/>
        <v>66.407830863535963</v>
      </c>
      <c r="S221" s="1">
        <f t="shared" si="60"/>
        <v>88.374497530202632</v>
      </c>
      <c r="T221" s="1">
        <f t="shared" si="61"/>
        <v>677.62550246979731</v>
      </c>
      <c r="U221" t="str">
        <f t="shared" si="62"/>
        <v xml:space="preserve"> Safe</v>
      </c>
      <c r="V221">
        <f t="shared" si="63"/>
        <v>4308</v>
      </c>
      <c r="W221" s="9">
        <f t="shared" si="64"/>
        <v>866726.52</v>
      </c>
      <c r="Y221">
        <f t="shared" si="65"/>
        <v>1.9432025863120178E-3</v>
      </c>
      <c r="Z221" s="12">
        <f t="shared" si="75"/>
        <v>0.73305405761954368</v>
      </c>
      <c r="AA221" t="str">
        <f t="shared" si="66"/>
        <v>A</v>
      </c>
      <c r="AB221" t="str">
        <f t="shared" si="67"/>
        <v>X</v>
      </c>
      <c r="AC221" t="str">
        <f t="shared" si="68"/>
        <v>AX</v>
      </c>
      <c r="AD221" t="str">
        <f t="shared" si="69"/>
        <v>Strict Control</v>
      </c>
      <c r="AE221" t="str">
        <f t="shared" si="70"/>
        <v>Daily</v>
      </c>
      <c r="AF221" t="str">
        <f t="shared" si="71"/>
        <v>Strict Replenishment</v>
      </c>
      <c r="AG221" t="str">
        <f t="shared" si="72"/>
        <v>Low</v>
      </c>
      <c r="AH221">
        <f t="shared" si="73"/>
        <v>60</v>
      </c>
      <c r="AI221" t="str">
        <f t="shared" si="74"/>
        <v>High</v>
      </c>
    </row>
    <row r="222" spans="1:35">
      <c r="A222" t="s">
        <v>110</v>
      </c>
      <c r="B222" t="s">
        <v>14</v>
      </c>
      <c r="C222" t="s">
        <v>22</v>
      </c>
      <c r="D222" t="s">
        <v>16</v>
      </c>
      <c r="E222">
        <v>180</v>
      </c>
      <c r="F222">
        <v>357</v>
      </c>
      <c r="G222">
        <v>92</v>
      </c>
      <c r="H222">
        <v>4</v>
      </c>
      <c r="I222">
        <v>202.07</v>
      </c>
      <c r="J222">
        <v>0.11</v>
      </c>
      <c r="K222">
        <v>987</v>
      </c>
      <c r="L222">
        <v>0.98</v>
      </c>
      <c r="M222">
        <v>8</v>
      </c>
      <c r="N222" s="1">
        <f t="shared" si="57"/>
        <v>11.9</v>
      </c>
      <c r="O222" s="1">
        <f>N222*(1+Control_Panel!$B$2)</f>
        <v>11.9</v>
      </c>
      <c r="P222" s="12">
        <f t="shared" si="58"/>
        <v>0.25770308123249297</v>
      </c>
      <c r="Q222" t="str" cm="1">
        <f t="array" ref="Q222">_xlfn.IFS(P222&lt;0.2,"Stable",P222&lt;=0.5,"Moderate",P222&gt;0.5,"Highly veriable")</f>
        <v>Moderate</v>
      </c>
      <c r="R222" s="1">
        <f t="shared" si="59"/>
        <v>184</v>
      </c>
      <c r="S222" s="1">
        <f t="shared" si="60"/>
        <v>199.9</v>
      </c>
      <c r="T222" s="1">
        <f t="shared" si="61"/>
        <v>-19.900000000000006</v>
      </c>
      <c r="U222" t="str">
        <f t="shared" si="62"/>
        <v xml:space="preserve"> Need to Order</v>
      </c>
      <c r="V222">
        <f t="shared" si="63"/>
        <v>4284</v>
      </c>
      <c r="W222" s="9">
        <f t="shared" si="64"/>
        <v>865667.88</v>
      </c>
      <c r="Y222">
        <f t="shared" si="65"/>
        <v>1.9408291133208217E-3</v>
      </c>
      <c r="Z222" s="12">
        <f t="shared" si="75"/>
        <v>0.73499488673286451</v>
      </c>
      <c r="AA222" t="str">
        <f t="shared" si="66"/>
        <v>A</v>
      </c>
      <c r="AB222" t="str">
        <f t="shared" si="67"/>
        <v>Y</v>
      </c>
      <c r="AC222" t="str">
        <f t="shared" si="68"/>
        <v>AY</v>
      </c>
      <c r="AD222" t="str">
        <f t="shared" si="69"/>
        <v>Frequent Monitoring</v>
      </c>
      <c r="AE222" t="str">
        <f t="shared" si="70"/>
        <v>Every 2 Days</v>
      </c>
      <c r="AF222" t="str">
        <f t="shared" si="71"/>
        <v>Frequent Monitoring</v>
      </c>
      <c r="AG222" t="str">
        <f t="shared" si="72"/>
        <v>High</v>
      </c>
      <c r="AH222">
        <f t="shared" si="73"/>
        <v>70</v>
      </c>
      <c r="AI222" t="str">
        <f t="shared" si="74"/>
        <v>Critical</v>
      </c>
    </row>
    <row r="223" spans="1:35">
      <c r="A223" t="s">
        <v>260</v>
      </c>
      <c r="B223" t="s">
        <v>18</v>
      </c>
      <c r="C223" t="s">
        <v>22</v>
      </c>
      <c r="D223" t="s">
        <v>25</v>
      </c>
      <c r="E223">
        <v>749</v>
      </c>
      <c r="F223">
        <v>390</v>
      </c>
      <c r="G223">
        <v>80</v>
      </c>
      <c r="H223">
        <v>26</v>
      </c>
      <c r="I223">
        <v>180</v>
      </c>
      <c r="J223">
        <v>0.09</v>
      </c>
      <c r="K223">
        <v>467</v>
      </c>
      <c r="L223">
        <v>0.82</v>
      </c>
      <c r="M223">
        <v>6</v>
      </c>
      <c r="N223" s="1">
        <f t="shared" si="57"/>
        <v>13</v>
      </c>
      <c r="O223" s="1">
        <f>N223*(1+Control_Panel!$B$2)</f>
        <v>13</v>
      </c>
      <c r="P223" s="12">
        <f t="shared" si="58"/>
        <v>0.20512820512820512</v>
      </c>
      <c r="Q223" t="str" cm="1">
        <f t="array" ref="Q223">_xlfn.IFS(P223&lt;0.2,"Stable",P223&lt;=0.5,"Moderate",P223&gt;0.5,"Highly veriable")</f>
        <v>Moderate</v>
      </c>
      <c r="R223" s="1">
        <f t="shared" si="59"/>
        <v>407.92156108742279</v>
      </c>
      <c r="S223" s="1">
        <f t="shared" si="60"/>
        <v>446.92156108742279</v>
      </c>
      <c r="T223" s="1">
        <f t="shared" si="61"/>
        <v>302.07843891257721</v>
      </c>
      <c r="U223" t="str">
        <f t="shared" si="62"/>
        <v xml:space="preserve"> Risk</v>
      </c>
      <c r="V223">
        <f t="shared" si="63"/>
        <v>4680</v>
      </c>
      <c r="W223" s="9">
        <f t="shared" si="64"/>
        <v>842400</v>
      </c>
      <c r="Y223">
        <f t="shared" si="65"/>
        <v>1.8886624799587808E-3</v>
      </c>
      <c r="Z223" s="12">
        <f t="shared" si="75"/>
        <v>0.73688354921282329</v>
      </c>
      <c r="AA223" t="str">
        <f t="shared" si="66"/>
        <v>A</v>
      </c>
      <c r="AB223" t="str">
        <f t="shared" si="67"/>
        <v>Y</v>
      </c>
      <c r="AC223" t="str">
        <f t="shared" si="68"/>
        <v>AY</v>
      </c>
      <c r="AD223" t="str">
        <f t="shared" si="69"/>
        <v>Frequent Monitoring</v>
      </c>
      <c r="AE223" t="str">
        <f t="shared" si="70"/>
        <v>Every 2 Days</v>
      </c>
      <c r="AF223" t="str">
        <f t="shared" si="71"/>
        <v>Frequent Monitoring</v>
      </c>
      <c r="AG223" t="str">
        <f t="shared" si="72"/>
        <v>High</v>
      </c>
      <c r="AH223">
        <f t="shared" si="73"/>
        <v>60</v>
      </c>
      <c r="AI223" t="str">
        <f t="shared" si="74"/>
        <v>High</v>
      </c>
    </row>
    <row r="224" spans="1:35">
      <c r="A224" t="s">
        <v>320</v>
      </c>
      <c r="B224" t="s">
        <v>21</v>
      </c>
      <c r="C224" t="s">
        <v>22</v>
      </c>
      <c r="D224" t="s">
        <v>23</v>
      </c>
      <c r="E224">
        <v>329</v>
      </c>
      <c r="F224">
        <v>463</v>
      </c>
      <c r="G224">
        <v>8</v>
      </c>
      <c r="H224">
        <v>15</v>
      </c>
      <c r="I224">
        <v>151.1</v>
      </c>
      <c r="J224">
        <v>0.09</v>
      </c>
      <c r="K224">
        <v>609</v>
      </c>
      <c r="L224">
        <v>0.73</v>
      </c>
      <c r="M224">
        <v>10</v>
      </c>
      <c r="N224" s="1">
        <f t="shared" si="57"/>
        <v>15.433333333333334</v>
      </c>
      <c r="O224" s="1">
        <f>N224*(1+Control_Panel!$B$2)</f>
        <v>15.433333333333334</v>
      </c>
      <c r="P224" s="12">
        <f t="shared" si="58"/>
        <v>1.7278617710583154E-2</v>
      </c>
      <c r="Q224" t="str" cm="1">
        <f t="array" ref="Q224">_xlfn.IFS(P224&lt;0.2,"Stable",P224&lt;=0.5,"Moderate",P224&gt;0.5,"Highly veriable")</f>
        <v>Stable</v>
      </c>
      <c r="R224" s="1">
        <f t="shared" si="59"/>
        <v>30.983866769659336</v>
      </c>
      <c r="S224" s="1">
        <f t="shared" si="60"/>
        <v>61.417200102992666</v>
      </c>
      <c r="T224" s="1">
        <f t="shared" si="61"/>
        <v>267.58279989700736</v>
      </c>
      <c r="U224" t="str">
        <f t="shared" si="62"/>
        <v xml:space="preserve"> Safe</v>
      </c>
      <c r="V224">
        <f t="shared" si="63"/>
        <v>5556</v>
      </c>
      <c r="W224" s="9">
        <f t="shared" si="64"/>
        <v>839511.6</v>
      </c>
      <c r="Y224">
        <f t="shared" si="65"/>
        <v>1.88218668139858E-3</v>
      </c>
      <c r="Z224" s="12">
        <f t="shared" si="75"/>
        <v>0.7387657358942219</v>
      </c>
      <c r="AA224" t="str">
        <f t="shared" si="66"/>
        <v>A</v>
      </c>
      <c r="AB224" t="str">
        <f t="shared" si="67"/>
        <v>X</v>
      </c>
      <c r="AC224" t="str">
        <f t="shared" si="68"/>
        <v>AX</v>
      </c>
      <c r="AD224" t="str">
        <f t="shared" si="69"/>
        <v>Strict Control</v>
      </c>
      <c r="AE224" t="str">
        <f t="shared" si="70"/>
        <v>Daily</v>
      </c>
      <c r="AF224" t="str">
        <f t="shared" si="71"/>
        <v>Strict Replenishment</v>
      </c>
      <c r="AG224" t="str">
        <f t="shared" si="72"/>
        <v>Low</v>
      </c>
      <c r="AH224">
        <f t="shared" si="73"/>
        <v>60</v>
      </c>
      <c r="AI224" t="str">
        <f t="shared" si="74"/>
        <v>High</v>
      </c>
    </row>
    <row r="225" spans="1:35">
      <c r="A225" t="s">
        <v>80</v>
      </c>
      <c r="B225" t="s">
        <v>36</v>
      </c>
      <c r="C225" t="s">
        <v>15</v>
      </c>
      <c r="D225" t="s">
        <v>25</v>
      </c>
      <c r="E225">
        <v>896</v>
      </c>
      <c r="F225">
        <v>177</v>
      </c>
      <c r="G225">
        <v>97</v>
      </c>
      <c r="H225">
        <v>28</v>
      </c>
      <c r="I225">
        <v>394.99</v>
      </c>
      <c r="J225">
        <v>0.11</v>
      </c>
      <c r="K225">
        <v>972</v>
      </c>
      <c r="L225">
        <v>0.95</v>
      </c>
      <c r="M225">
        <v>6</v>
      </c>
      <c r="N225" s="1">
        <f t="shared" si="57"/>
        <v>5.9</v>
      </c>
      <c r="O225" s="1">
        <f>N225*(1+Control_Panel!$B$2)</f>
        <v>5.9</v>
      </c>
      <c r="P225" s="12">
        <f t="shared" si="58"/>
        <v>0.54802259887005644</v>
      </c>
      <c r="Q225" t="str" cm="1">
        <f t="array" ref="Q225">_xlfn.IFS(P225&lt;0.2,"Stable",P225&lt;=0.5,"Moderate",P225&gt;0.5,"Highly veriable")</f>
        <v>Highly veriable</v>
      </c>
      <c r="R225" s="1">
        <f t="shared" si="59"/>
        <v>513.27575434653056</v>
      </c>
      <c r="S225" s="1">
        <f t="shared" si="60"/>
        <v>547.17575434653054</v>
      </c>
      <c r="T225" s="1">
        <f t="shared" si="61"/>
        <v>348.82424565346946</v>
      </c>
      <c r="U225" t="str">
        <f t="shared" si="62"/>
        <v xml:space="preserve"> Risk</v>
      </c>
      <c r="V225">
        <f t="shared" si="63"/>
        <v>2124</v>
      </c>
      <c r="W225" s="9">
        <f t="shared" si="64"/>
        <v>838958.76</v>
      </c>
      <c r="Y225">
        <f t="shared" si="65"/>
        <v>1.8809472130160774E-3</v>
      </c>
      <c r="Z225" s="12">
        <f t="shared" si="75"/>
        <v>0.74064668310723802</v>
      </c>
      <c r="AA225" t="str">
        <f t="shared" si="66"/>
        <v>A</v>
      </c>
      <c r="AB225" t="str">
        <f t="shared" si="67"/>
        <v>Z</v>
      </c>
      <c r="AC225" t="str">
        <f t="shared" si="68"/>
        <v>AZ</v>
      </c>
      <c r="AD225" t="str">
        <f t="shared" si="69"/>
        <v>Risk-Control Strategy</v>
      </c>
      <c r="AE225" t="str">
        <f t="shared" si="70"/>
        <v>Daily + Manager Review</v>
      </c>
      <c r="AF225" t="str">
        <f t="shared" si="71"/>
        <v>Increase Safety Stock</v>
      </c>
      <c r="AG225" t="str">
        <f t="shared" si="72"/>
        <v>Critical</v>
      </c>
      <c r="AH225">
        <f t="shared" si="73"/>
        <v>70</v>
      </c>
      <c r="AI225" t="str">
        <f t="shared" si="74"/>
        <v>Critical</v>
      </c>
    </row>
    <row r="226" spans="1:35">
      <c r="A226" t="s">
        <v>56</v>
      </c>
      <c r="B226" t="s">
        <v>14</v>
      </c>
      <c r="C226" t="s">
        <v>15</v>
      </c>
      <c r="D226" t="s">
        <v>25</v>
      </c>
      <c r="E226">
        <v>247</v>
      </c>
      <c r="F226">
        <v>299</v>
      </c>
      <c r="G226">
        <v>50</v>
      </c>
      <c r="H226">
        <v>2</v>
      </c>
      <c r="I226">
        <v>233.49</v>
      </c>
      <c r="J226">
        <v>0.21</v>
      </c>
      <c r="K226">
        <v>573</v>
      </c>
      <c r="L226">
        <v>0.93</v>
      </c>
      <c r="M226">
        <v>6</v>
      </c>
      <c r="N226" s="1">
        <f t="shared" si="57"/>
        <v>9.9666666666666668</v>
      </c>
      <c r="O226" s="1">
        <f>N226*(1+Control_Panel!$B$2)</f>
        <v>9.9666666666666668</v>
      </c>
      <c r="P226" s="12">
        <f t="shared" si="58"/>
        <v>0.16722408026755853</v>
      </c>
      <c r="Q226" t="str" cm="1">
        <f t="array" ref="Q226">_xlfn.IFS(P226&lt;0.2,"Stable",P226&lt;=0.5,"Moderate",P226&gt;0.5,"Highly veriable")</f>
        <v>Stable</v>
      </c>
      <c r="R226" s="1">
        <f t="shared" si="59"/>
        <v>70.710678118654755</v>
      </c>
      <c r="S226" s="1">
        <f t="shared" si="60"/>
        <v>82.677344785321424</v>
      </c>
      <c r="T226" s="1">
        <f t="shared" si="61"/>
        <v>164.32265521467858</v>
      </c>
      <c r="U226" t="str">
        <f t="shared" si="62"/>
        <v xml:space="preserve"> Safe</v>
      </c>
      <c r="V226">
        <f t="shared" si="63"/>
        <v>3588</v>
      </c>
      <c r="W226" s="9">
        <f t="shared" si="64"/>
        <v>837762.12</v>
      </c>
      <c r="Y226">
        <f t="shared" si="65"/>
        <v>1.8782643437496743E-3</v>
      </c>
      <c r="Z226" s="12">
        <f t="shared" si="75"/>
        <v>0.74252494745098774</v>
      </c>
      <c r="AA226" t="str">
        <f t="shared" si="66"/>
        <v>A</v>
      </c>
      <c r="AB226" t="str">
        <f t="shared" si="67"/>
        <v>X</v>
      </c>
      <c r="AC226" t="str">
        <f t="shared" si="68"/>
        <v>AX</v>
      </c>
      <c r="AD226" t="str">
        <f t="shared" si="69"/>
        <v>Strict Control</v>
      </c>
      <c r="AE226" t="str">
        <f t="shared" si="70"/>
        <v>Daily</v>
      </c>
      <c r="AF226" t="str">
        <f t="shared" si="71"/>
        <v>Strict Replenishment</v>
      </c>
      <c r="AG226" t="str">
        <f t="shared" si="72"/>
        <v>Low</v>
      </c>
      <c r="AH226">
        <f t="shared" si="73"/>
        <v>50</v>
      </c>
      <c r="AI226" t="str">
        <f t="shared" si="74"/>
        <v>Medium</v>
      </c>
    </row>
    <row r="227" spans="1:35">
      <c r="A227" t="s">
        <v>207</v>
      </c>
      <c r="B227" t="s">
        <v>14</v>
      </c>
      <c r="C227" t="s">
        <v>22</v>
      </c>
      <c r="D227" t="s">
        <v>25</v>
      </c>
      <c r="E227">
        <v>497</v>
      </c>
      <c r="F227">
        <v>207</v>
      </c>
      <c r="G227">
        <v>14</v>
      </c>
      <c r="H227">
        <v>7</v>
      </c>
      <c r="I227">
        <v>334.73</v>
      </c>
      <c r="J227">
        <v>0.24</v>
      </c>
      <c r="K227">
        <v>868</v>
      </c>
      <c r="L227">
        <v>0.72</v>
      </c>
      <c r="M227">
        <v>1</v>
      </c>
      <c r="N227" s="1">
        <f t="shared" si="57"/>
        <v>6.9</v>
      </c>
      <c r="O227" s="1">
        <f>N227*(1+Control_Panel!$B$2)</f>
        <v>6.9</v>
      </c>
      <c r="P227" s="12">
        <f t="shared" si="58"/>
        <v>6.7632850241545889E-2</v>
      </c>
      <c r="Q227" t="str" cm="1">
        <f t="array" ref="Q227">_xlfn.IFS(P227&lt;0.2,"Stable",P227&lt;=0.5,"Moderate",P227&gt;0.5,"Highly veriable")</f>
        <v>Stable</v>
      </c>
      <c r="R227" s="1">
        <f t="shared" si="59"/>
        <v>37.040518354904272</v>
      </c>
      <c r="S227" s="1">
        <f t="shared" si="60"/>
        <v>50.94051835490427</v>
      </c>
      <c r="T227" s="1">
        <f t="shared" si="61"/>
        <v>446.05948164509573</v>
      </c>
      <c r="U227" t="str">
        <f t="shared" si="62"/>
        <v xml:space="preserve"> Safe</v>
      </c>
      <c r="V227">
        <f t="shared" si="63"/>
        <v>2484</v>
      </c>
      <c r="W227" s="9">
        <f t="shared" si="64"/>
        <v>831469.32000000007</v>
      </c>
      <c r="Y227">
        <f t="shared" si="65"/>
        <v>1.8641558736002387E-3</v>
      </c>
      <c r="Z227" s="12">
        <f t="shared" si="75"/>
        <v>0.74438910332458796</v>
      </c>
      <c r="AA227" t="str">
        <f t="shared" si="66"/>
        <v>A</v>
      </c>
      <c r="AB227" t="str">
        <f t="shared" si="67"/>
        <v>X</v>
      </c>
      <c r="AC227" t="str">
        <f t="shared" si="68"/>
        <v>AX</v>
      </c>
      <c r="AD227" t="str">
        <f t="shared" si="69"/>
        <v>Strict Control</v>
      </c>
      <c r="AE227" t="str">
        <f t="shared" si="70"/>
        <v>Daily</v>
      </c>
      <c r="AF227" t="str">
        <f t="shared" si="71"/>
        <v>Strict Replenishment</v>
      </c>
      <c r="AG227" t="str">
        <f t="shared" si="72"/>
        <v>Low</v>
      </c>
      <c r="AH227">
        <f t="shared" si="73"/>
        <v>40</v>
      </c>
      <c r="AI227" t="str">
        <f t="shared" si="74"/>
        <v>Low</v>
      </c>
    </row>
    <row r="228" spans="1:35">
      <c r="A228" t="s">
        <v>454</v>
      </c>
      <c r="B228" t="s">
        <v>21</v>
      </c>
      <c r="C228" t="s">
        <v>22</v>
      </c>
      <c r="D228" t="s">
        <v>41</v>
      </c>
      <c r="E228">
        <v>915</v>
      </c>
      <c r="F228">
        <v>322</v>
      </c>
      <c r="G228">
        <v>63</v>
      </c>
      <c r="H228">
        <v>17</v>
      </c>
      <c r="I228">
        <v>214.54</v>
      </c>
      <c r="J228">
        <v>0.08</v>
      </c>
      <c r="K228">
        <v>939</v>
      </c>
      <c r="L228">
        <v>0.79</v>
      </c>
      <c r="M228">
        <v>3</v>
      </c>
      <c r="N228" s="1">
        <f t="shared" si="57"/>
        <v>10.733333333333333</v>
      </c>
      <c r="O228" s="1">
        <f>N228*(1+Control_Panel!$B$2)</f>
        <v>10.733333333333333</v>
      </c>
      <c r="P228" s="12">
        <f t="shared" si="58"/>
        <v>0.19565217391304349</v>
      </c>
      <c r="Q228" t="str" cm="1">
        <f t="array" ref="Q228">_xlfn.IFS(P228&lt;0.2,"Stable",P228&lt;=0.5,"Moderate",P228&gt;0.5,"Highly veriable")</f>
        <v>Stable</v>
      </c>
      <c r="R228" s="1">
        <f t="shared" si="59"/>
        <v>259.75565441391262</v>
      </c>
      <c r="S228" s="1">
        <f t="shared" si="60"/>
        <v>287.48898774724597</v>
      </c>
      <c r="T228" s="1">
        <f t="shared" si="61"/>
        <v>627.51101225275397</v>
      </c>
      <c r="U228" t="str">
        <f t="shared" si="62"/>
        <v xml:space="preserve"> Safe</v>
      </c>
      <c r="V228">
        <f t="shared" si="63"/>
        <v>3864</v>
      </c>
      <c r="W228" s="9">
        <f t="shared" si="64"/>
        <v>828982.55999999994</v>
      </c>
      <c r="Y228">
        <f t="shared" si="65"/>
        <v>1.8585805527210097E-3</v>
      </c>
      <c r="Z228" s="12">
        <f t="shared" si="75"/>
        <v>0.746247683877309</v>
      </c>
      <c r="AA228" t="str">
        <f t="shared" si="66"/>
        <v>A</v>
      </c>
      <c r="AB228" t="str">
        <f t="shared" si="67"/>
        <v>X</v>
      </c>
      <c r="AC228" t="str">
        <f t="shared" si="68"/>
        <v>AX</v>
      </c>
      <c r="AD228" t="str">
        <f t="shared" si="69"/>
        <v>Strict Control</v>
      </c>
      <c r="AE228" t="str">
        <f t="shared" si="70"/>
        <v>Daily</v>
      </c>
      <c r="AF228" t="str">
        <f t="shared" si="71"/>
        <v>Strict Replenishment</v>
      </c>
      <c r="AG228" t="str">
        <f t="shared" si="72"/>
        <v>Low</v>
      </c>
      <c r="AH228">
        <f t="shared" si="73"/>
        <v>40</v>
      </c>
      <c r="AI228" t="str">
        <f t="shared" si="74"/>
        <v>Low</v>
      </c>
    </row>
    <row r="229" spans="1:35">
      <c r="A229" t="s">
        <v>160</v>
      </c>
      <c r="B229" t="s">
        <v>36</v>
      </c>
      <c r="C229" t="s">
        <v>15</v>
      </c>
      <c r="D229" t="s">
        <v>16</v>
      </c>
      <c r="E229">
        <v>608</v>
      </c>
      <c r="F229">
        <v>163</v>
      </c>
      <c r="G229">
        <v>29</v>
      </c>
      <c r="H229">
        <v>8</v>
      </c>
      <c r="I229">
        <v>421.93</v>
      </c>
      <c r="J229">
        <v>0.16</v>
      </c>
      <c r="K229">
        <v>524</v>
      </c>
      <c r="L229">
        <v>0.98</v>
      </c>
      <c r="M229">
        <v>6</v>
      </c>
      <c r="N229" s="1">
        <f t="shared" si="57"/>
        <v>5.4333333333333336</v>
      </c>
      <c r="O229" s="1">
        <f>N229*(1+Control_Panel!$B$2)</f>
        <v>5.4333333333333336</v>
      </c>
      <c r="P229" s="12">
        <f t="shared" si="58"/>
        <v>0.17791411042944785</v>
      </c>
      <c r="Q229" t="str" cm="1">
        <f t="array" ref="Q229">_xlfn.IFS(P229&lt;0.2,"Stable",P229&lt;=0.5,"Moderate",P229&gt;0.5,"Highly veriable")</f>
        <v>Stable</v>
      </c>
      <c r="R229" s="1">
        <f t="shared" si="59"/>
        <v>82.024386617639522</v>
      </c>
      <c r="S229" s="1">
        <f t="shared" si="60"/>
        <v>95.457719950972859</v>
      </c>
      <c r="T229" s="1">
        <f t="shared" si="61"/>
        <v>512.54228004902711</v>
      </c>
      <c r="U229" t="str">
        <f t="shared" si="62"/>
        <v xml:space="preserve"> Safe</v>
      </c>
      <c r="V229">
        <f t="shared" si="63"/>
        <v>1956</v>
      </c>
      <c r="W229" s="9">
        <f t="shared" si="64"/>
        <v>825295.08</v>
      </c>
      <c r="Y229">
        <f t="shared" si="65"/>
        <v>1.8503132152072415E-3</v>
      </c>
      <c r="Z229" s="12">
        <f t="shared" si="75"/>
        <v>0.74809799709251623</v>
      </c>
      <c r="AA229" t="str">
        <f t="shared" si="66"/>
        <v>A</v>
      </c>
      <c r="AB229" t="str">
        <f t="shared" si="67"/>
        <v>X</v>
      </c>
      <c r="AC229" t="str">
        <f t="shared" si="68"/>
        <v>AX</v>
      </c>
      <c r="AD229" t="str">
        <f t="shared" si="69"/>
        <v>Strict Control</v>
      </c>
      <c r="AE229" t="str">
        <f t="shared" si="70"/>
        <v>Daily</v>
      </c>
      <c r="AF229" t="str">
        <f t="shared" si="71"/>
        <v>Strict Replenishment</v>
      </c>
      <c r="AG229" t="str">
        <f t="shared" si="72"/>
        <v>Low</v>
      </c>
      <c r="AH229">
        <f t="shared" si="73"/>
        <v>50</v>
      </c>
      <c r="AI229" t="str">
        <f t="shared" si="74"/>
        <v>Medium</v>
      </c>
    </row>
    <row r="230" spans="1:35">
      <c r="A230" t="s">
        <v>118</v>
      </c>
      <c r="B230" t="s">
        <v>36</v>
      </c>
      <c r="C230" t="s">
        <v>22</v>
      </c>
      <c r="D230" t="s">
        <v>19</v>
      </c>
      <c r="E230">
        <v>759</v>
      </c>
      <c r="F230">
        <v>156</v>
      </c>
      <c r="G230">
        <v>44</v>
      </c>
      <c r="H230">
        <v>24</v>
      </c>
      <c r="I230">
        <v>434.68</v>
      </c>
      <c r="J230">
        <v>0.18</v>
      </c>
      <c r="K230">
        <v>801</v>
      </c>
      <c r="L230">
        <v>0.83</v>
      </c>
      <c r="M230">
        <v>4</v>
      </c>
      <c r="N230" s="1">
        <f t="shared" si="57"/>
        <v>5.2</v>
      </c>
      <c r="O230" s="1">
        <f>N230*(1+Control_Panel!$B$2)</f>
        <v>5.2</v>
      </c>
      <c r="P230" s="12">
        <f t="shared" si="58"/>
        <v>0.28205128205128205</v>
      </c>
      <c r="Q230" t="str" cm="1">
        <f t="array" ref="Q230">_xlfn.IFS(P230&lt;0.2,"Stable",P230&lt;=0.5,"Moderate",P230&gt;0.5,"Highly veriable")</f>
        <v>Moderate</v>
      </c>
      <c r="R230" s="1">
        <f t="shared" si="59"/>
        <v>215.55509736491965</v>
      </c>
      <c r="S230" s="1">
        <f t="shared" si="60"/>
        <v>244.75509736491964</v>
      </c>
      <c r="T230" s="1">
        <f t="shared" si="61"/>
        <v>514.24490263508039</v>
      </c>
      <c r="U230" t="str">
        <f t="shared" si="62"/>
        <v xml:space="preserve"> Safe</v>
      </c>
      <c r="V230">
        <f t="shared" si="63"/>
        <v>1872</v>
      </c>
      <c r="W230" s="9">
        <f t="shared" si="64"/>
        <v>813720.96</v>
      </c>
      <c r="Y230">
        <f t="shared" si="65"/>
        <v>1.8243640150855172E-3</v>
      </c>
      <c r="Z230" s="12">
        <f t="shared" si="75"/>
        <v>0.7499223611076018</v>
      </c>
      <c r="AA230" t="str">
        <f t="shared" si="66"/>
        <v>A</v>
      </c>
      <c r="AB230" t="str">
        <f t="shared" si="67"/>
        <v>Y</v>
      </c>
      <c r="AC230" t="str">
        <f t="shared" si="68"/>
        <v>AY</v>
      </c>
      <c r="AD230" t="str">
        <f t="shared" si="69"/>
        <v>Frequent Monitoring</v>
      </c>
      <c r="AE230" t="str">
        <f t="shared" si="70"/>
        <v>Every 2 Days</v>
      </c>
      <c r="AF230" t="str">
        <f t="shared" si="71"/>
        <v>Frequent Monitoring</v>
      </c>
      <c r="AG230" t="str">
        <f t="shared" si="72"/>
        <v>High</v>
      </c>
      <c r="AH230">
        <f t="shared" si="73"/>
        <v>50</v>
      </c>
      <c r="AI230" t="str">
        <f t="shared" si="74"/>
        <v>Medium</v>
      </c>
    </row>
    <row r="231" spans="1:35">
      <c r="A231" t="s">
        <v>42</v>
      </c>
      <c r="B231" t="s">
        <v>14</v>
      </c>
      <c r="C231" t="s">
        <v>22</v>
      </c>
      <c r="D231" t="s">
        <v>19</v>
      </c>
      <c r="E231">
        <v>388</v>
      </c>
      <c r="F231">
        <v>494</v>
      </c>
      <c r="G231">
        <v>56</v>
      </c>
      <c r="H231">
        <v>11</v>
      </c>
      <c r="I231">
        <v>136.85</v>
      </c>
      <c r="J231">
        <v>0.13</v>
      </c>
      <c r="K231">
        <v>743</v>
      </c>
      <c r="L231">
        <v>0.93</v>
      </c>
      <c r="M231">
        <v>7</v>
      </c>
      <c r="N231" s="1">
        <f t="shared" si="57"/>
        <v>16.466666666666665</v>
      </c>
      <c r="O231" s="1">
        <f>N231*(1+Control_Panel!$B$2)</f>
        <v>16.466666666666665</v>
      </c>
      <c r="P231" s="12">
        <f t="shared" si="58"/>
        <v>0.11336032388663968</v>
      </c>
      <c r="Q231" t="str" cm="1">
        <f t="array" ref="Q231">_xlfn.IFS(P231&lt;0.2,"Stable",P231&lt;=0.5,"Moderate",P231&gt;0.5,"Highly veriable")</f>
        <v>Stable</v>
      </c>
      <c r="R231" s="1">
        <f t="shared" si="59"/>
        <v>185.7309882599024</v>
      </c>
      <c r="S231" s="1">
        <f t="shared" si="60"/>
        <v>213.19765492656907</v>
      </c>
      <c r="T231" s="1">
        <f t="shared" si="61"/>
        <v>174.80234507343093</v>
      </c>
      <c r="U231" t="str">
        <f t="shared" si="62"/>
        <v xml:space="preserve"> Risk</v>
      </c>
      <c r="V231">
        <f t="shared" si="63"/>
        <v>5928</v>
      </c>
      <c r="W231" s="9">
        <f t="shared" si="64"/>
        <v>811246.79999999993</v>
      </c>
      <c r="Y231">
        <f t="shared" si="65"/>
        <v>1.8188169434314161E-3</v>
      </c>
      <c r="Z231" s="12">
        <f t="shared" si="75"/>
        <v>0.75174117805103324</v>
      </c>
      <c r="AA231" t="str">
        <f t="shared" si="66"/>
        <v>A</v>
      </c>
      <c r="AB231" t="str">
        <f t="shared" si="67"/>
        <v>X</v>
      </c>
      <c r="AC231" t="str">
        <f t="shared" si="68"/>
        <v>AX</v>
      </c>
      <c r="AD231" t="str">
        <f t="shared" si="69"/>
        <v>Strict Control</v>
      </c>
      <c r="AE231" t="str">
        <f t="shared" si="70"/>
        <v>Daily</v>
      </c>
      <c r="AF231" t="str">
        <f t="shared" si="71"/>
        <v>Strict Replenishment</v>
      </c>
      <c r="AG231" t="str">
        <f t="shared" si="72"/>
        <v>Low</v>
      </c>
      <c r="AH231">
        <f t="shared" si="73"/>
        <v>50</v>
      </c>
      <c r="AI231" t="str">
        <f t="shared" si="74"/>
        <v>Medium</v>
      </c>
    </row>
    <row r="232" spans="1:35">
      <c r="A232" t="s">
        <v>26</v>
      </c>
      <c r="B232" t="s">
        <v>18</v>
      </c>
      <c r="C232" t="s">
        <v>22</v>
      </c>
      <c r="D232" t="s">
        <v>19</v>
      </c>
      <c r="E232">
        <v>643</v>
      </c>
      <c r="F232">
        <v>371</v>
      </c>
      <c r="G232">
        <v>28</v>
      </c>
      <c r="H232">
        <v>11</v>
      </c>
      <c r="I232">
        <v>179.64</v>
      </c>
      <c r="J232">
        <v>0.16</v>
      </c>
      <c r="K232">
        <v>952</v>
      </c>
      <c r="L232">
        <v>0.99</v>
      </c>
      <c r="M232">
        <v>9</v>
      </c>
      <c r="N232" s="1">
        <f t="shared" si="57"/>
        <v>12.366666666666667</v>
      </c>
      <c r="O232" s="1">
        <f>N232*(1+Control_Panel!$B$2)</f>
        <v>12.366666666666667</v>
      </c>
      <c r="P232" s="12">
        <f t="shared" si="58"/>
        <v>7.5471698113207544E-2</v>
      </c>
      <c r="Q232" t="str" cm="1">
        <f t="array" ref="Q232">_xlfn.IFS(P232&lt;0.2,"Stable",P232&lt;=0.5,"Moderate",P232&gt;0.5,"Highly veriable")</f>
        <v>Stable</v>
      </c>
      <c r="R232" s="1">
        <f t="shared" si="59"/>
        <v>92.865494129951202</v>
      </c>
      <c r="S232" s="1">
        <f t="shared" si="60"/>
        <v>116.23216079661788</v>
      </c>
      <c r="T232" s="1">
        <f t="shared" si="61"/>
        <v>526.7678392033821</v>
      </c>
      <c r="U232" t="str">
        <f t="shared" si="62"/>
        <v xml:space="preserve"> Safe</v>
      </c>
      <c r="V232">
        <f t="shared" si="63"/>
        <v>4452</v>
      </c>
      <c r="W232" s="9">
        <f t="shared" si="64"/>
        <v>799757.27999999991</v>
      </c>
      <c r="Y232">
        <f t="shared" si="65"/>
        <v>1.7930574166784056E-3</v>
      </c>
      <c r="Z232" s="12">
        <f t="shared" si="75"/>
        <v>0.7535342354677117</v>
      </c>
      <c r="AA232" t="str">
        <f t="shared" si="66"/>
        <v>A</v>
      </c>
      <c r="AB232" t="str">
        <f t="shared" si="67"/>
        <v>X</v>
      </c>
      <c r="AC232" t="str">
        <f t="shared" si="68"/>
        <v>AX</v>
      </c>
      <c r="AD232" t="str">
        <f t="shared" si="69"/>
        <v>Strict Control</v>
      </c>
      <c r="AE232" t="str">
        <f t="shared" si="70"/>
        <v>Daily</v>
      </c>
      <c r="AF232" t="str">
        <f t="shared" si="71"/>
        <v>Strict Replenishment</v>
      </c>
      <c r="AG232" t="str">
        <f t="shared" si="72"/>
        <v>Low</v>
      </c>
      <c r="AH232">
        <f t="shared" si="73"/>
        <v>60</v>
      </c>
      <c r="AI232" t="str">
        <f t="shared" si="74"/>
        <v>High</v>
      </c>
    </row>
    <row r="233" spans="1:35">
      <c r="A233" t="s">
        <v>526</v>
      </c>
      <c r="B233" t="s">
        <v>40</v>
      </c>
      <c r="C233" t="s">
        <v>22</v>
      </c>
      <c r="D233" t="s">
        <v>25</v>
      </c>
      <c r="E233">
        <v>613</v>
      </c>
      <c r="F233">
        <v>278</v>
      </c>
      <c r="G233">
        <v>93</v>
      </c>
      <c r="H233">
        <v>5</v>
      </c>
      <c r="I233">
        <v>238.61</v>
      </c>
      <c r="J233">
        <v>0.16</v>
      </c>
      <c r="K233">
        <v>659</v>
      </c>
      <c r="L233">
        <v>0.8</v>
      </c>
      <c r="M233">
        <v>5</v>
      </c>
      <c r="N233" s="1">
        <f t="shared" si="57"/>
        <v>9.2666666666666675</v>
      </c>
      <c r="O233" s="1">
        <f>N233*(1+Control_Panel!$B$2)</f>
        <v>9.2666666666666675</v>
      </c>
      <c r="P233" s="12">
        <f t="shared" si="58"/>
        <v>0.3345323741007194</v>
      </c>
      <c r="Q233" t="str" cm="1">
        <f t="array" ref="Q233">_xlfn.IFS(P233&lt;0.2,"Stable",P233&lt;=0.5,"Moderate",P233&gt;0.5,"Highly veriable")</f>
        <v>Moderate</v>
      </c>
      <c r="R233" s="1">
        <f t="shared" si="59"/>
        <v>207.95432190748045</v>
      </c>
      <c r="S233" s="1">
        <f t="shared" si="60"/>
        <v>222.22098857414713</v>
      </c>
      <c r="T233" s="1">
        <f t="shared" si="61"/>
        <v>390.7790114258529</v>
      </c>
      <c r="U233" t="str">
        <f t="shared" si="62"/>
        <v xml:space="preserve"> Safe</v>
      </c>
      <c r="V233">
        <f t="shared" si="63"/>
        <v>3336</v>
      </c>
      <c r="W233" s="9">
        <f t="shared" si="64"/>
        <v>796002.96000000008</v>
      </c>
      <c r="Y233">
        <f t="shared" si="65"/>
        <v>1.7846402237513418E-3</v>
      </c>
      <c r="Z233" s="12">
        <f t="shared" si="75"/>
        <v>0.75531887569146305</v>
      </c>
      <c r="AA233" t="str">
        <f t="shared" si="66"/>
        <v>A</v>
      </c>
      <c r="AB233" t="str">
        <f t="shared" si="67"/>
        <v>Y</v>
      </c>
      <c r="AC233" t="str">
        <f t="shared" si="68"/>
        <v>AY</v>
      </c>
      <c r="AD233" t="str">
        <f t="shared" si="69"/>
        <v>Frequent Monitoring</v>
      </c>
      <c r="AE233" t="str">
        <f t="shared" si="70"/>
        <v>Every 2 Days</v>
      </c>
      <c r="AF233" t="str">
        <f t="shared" si="71"/>
        <v>Frequent Monitoring</v>
      </c>
      <c r="AG233" t="str">
        <f t="shared" si="72"/>
        <v>High</v>
      </c>
      <c r="AH233">
        <f t="shared" si="73"/>
        <v>60</v>
      </c>
      <c r="AI233" t="str">
        <f t="shared" si="74"/>
        <v>High</v>
      </c>
    </row>
    <row r="234" spans="1:35">
      <c r="A234" t="s">
        <v>252</v>
      </c>
      <c r="B234" t="s">
        <v>34</v>
      </c>
      <c r="C234" t="s">
        <v>22</v>
      </c>
      <c r="D234" t="s">
        <v>41</v>
      </c>
      <c r="E234">
        <v>556</v>
      </c>
      <c r="F234">
        <v>173</v>
      </c>
      <c r="G234">
        <v>88</v>
      </c>
      <c r="H234">
        <v>14</v>
      </c>
      <c r="I234">
        <v>379.78</v>
      </c>
      <c r="J234">
        <v>0.22</v>
      </c>
      <c r="K234">
        <v>895</v>
      </c>
      <c r="L234">
        <v>0.97</v>
      </c>
      <c r="M234">
        <v>10</v>
      </c>
      <c r="N234" s="1">
        <f t="shared" si="57"/>
        <v>5.7666666666666666</v>
      </c>
      <c r="O234" s="1">
        <f>N234*(1+Control_Panel!$B$2)</f>
        <v>5.7666666666666666</v>
      </c>
      <c r="P234" s="12">
        <f t="shared" si="58"/>
        <v>0.50867052023121384</v>
      </c>
      <c r="Q234" t="str" cm="1">
        <f t="array" ref="Q234">_xlfn.IFS(P234&lt;0.2,"Stable",P234&lt;=0.5,"Moderate",P234&gt;0.5,"Highly veriable")</f>
        <v>Highly veriable</v>
      </c>
      <c r="R234" s="1">
        <f t="shared" si="59"/>
        <v>329.26585003610683</v>
      </c>
      <c r="S234" s="1">
        <f t="shared" si="60"/>
        <v>349.03251670277348</v>
      </c>
      <c r="T234" s="1">
        <f t="shared" si="61"/>
        <v>206.96748329722652</v>
      </c>
      <c r="U234" t="str">
        <f t="shared" si="62"/>
        <v xml:space="preserve"> Risk</v>
      </c>
      <c r="V234">
        <f t="shared" si="63"/>
        <v>2076</v>
      </c>
      <c r="W234" s="9">
        <f t="shared" si="64"/>
        <v>788423.27999999991</v>
      </c>
      <c r="Y234">
        <f t="shared" si="65"/>
        <v>1.7676465660755414E-3</v>
      </c>
      <c r="Z234" s="12">
        <f t="shared" si="75"/>
        <v>0.75708652225753859</v>
      </c>
      <c r="AA234" t="str">
        <f t="shared" si="66"/>
        <v>A</v>
      </c>
      <c r="AB234" t="str">
        <f t="shared" si="67"/>
        <v>Z</v>
      </c>
      <c r="AC234" t="str">
        <f t="shared" si="68"/>
        <v>AZ</v>
      </c>
      <c r="AD234" t="str">
        <f t="shared" si="69"/>
        <v>Risk-Control Strategy</v>
      </c>
      <c r="AE234" t="str">
        <f t="shared" si="70"/>
        <v>Daily + Manager Review</v>
      </c>
      <c r="AF234" t="str">
        <f t="shared" si="71"/>
        <v>Increase Safety Stock</v>
      </c>
      <c r="AG234" t="str">
        <f t="shared" si="72"/>
        <v>Critical</v>
      </c>
      <c r="AH234">
        <f t="shared" si="73"/>
        <v>80</v>
      </c>
      <c r="AI234" t="str">
        <f t="shared" si="74"/>
        <v>Critical</v>
      </c>
    </row>
    <row r="235" spans="1:35">
      <c r="A235" t="s">
        <v>251</v>
      </c>
      <c r="B235" t="s">
        <v>34</v>
      </c>
      <c r="C235" t="s">
        <v>22</v>
      </c>
      <c r="D235" t="s">
        <v>16</v>
      </c>
      <c r="E235">
        <v>19</v>
      </c>
      <c r="F235">
        <v>428</v>
      </c>
      <c r="G235">
        <v>37</v>
      </c>
      <c r="H235">
        <v>9</v>
      </c>
      <c r="I235">
        <v>152.59</v>
      </c>
      <c r="J235">
        <v>0.09</v>
      </c>
      <c r="K235">
        <v>216</v>
      </c>
      <c r="L235">
        <v>0.97</v>
      </c>
      <c r="M235">
        <v>1</v>
      </c>
      <c r="N235" s="1">
        <f t="shared" si="57"/>
        <v>14.266666666666667</v>
      </c>
      <c r="O235" s="1">
        <f>N235*(1+Control_Panel!$B$2)</f>
        <v>14.266666666666667</v>
      </c>
      <c r="P235" s="12">
        <f t="shared" si="58"/>
        <v>8.6448598130841117E-2</v>
      </c>
      <c r="Q235" t="str" cm="1">
        <f t="array" ref="Q235">_xlfn.IFS(P235&lt;0.2,"Stable",P235&lt;=0.5,"Moderate",P235&gt;0.5,"Highly veriable")</f>
        <v>Stable</v>
      </c>
      <c r="R235" s="1">
        <f t="shared" si="59"/>
        <v>111</v>
      </c>
      <c r="S235" s="1">
        <f t="shared" si="60"/>
        <v>134.26666666666665</v>
      </c>
      <c r="T235" s="1">
        <f t="shared" si="61"/>
        <v>-115.26666666666665</v>
      </c>
      <c r="U235" t="str">
        <f t="shared" si="62"/>
        <v xml:space="preserve"> Need to Order</v>
      </c>
      <c r="V235">
        <f t="shared" si="63"/>
        <v>5136</v>
      </c>
      <c r="W235" s="9">
        <f t="shared" si="64"/>
        <v>783702.24</v>
      </c>
      <c r="Y235">
        <f t="shared" si="65"/>
        <v>1.757061984980593E-3</v>
      </c>
      <c r="Z235" s="12">
        <f t="shared" si="75"/>
        <v>0.75884358424251919</v>
      </c>
      <c r="AA235" t="str">
        <f t="shared" si="66"/>
        <v>A</v>
      </c>
      <c r="AB235" t="str">
        <f t="shared" si="67"/>
        <v>X</v>
      </c>
      <c r="AC235" t="str">
        <f t="shared" si="68"/>
        <v>AX</v>
      </c>
      <c r="AD235" t="str">
        <f t="shared" si="69"/>
        <v>Strict Control</v>
      </c>
      <c r="AE235" t="str">
        <f t="shared" si="70"/>
        <v>Daily</v>
      </c>
      <c r="AF235" t="str">
        <f t="shared" si="71"/>
        <v>Strict Replenishment</v>
      </c>
      <c r="AG235" t="str">
        <f t="shared" si="72"/>
        <v>Low</v>
      </c>
      <c r="AH235">
        <f t="shared" si="73"/>
        <v>40</v>
      </c>
      <c r="AI235" t="str">
        <f t="shared" si="74"/>
        <v>Low</v>
      </c>
    </row>
    <row r="236" spans="1:35">
      <c r="A236" t="s">
        <v>344</v>
      </c>
      <c r="B236" t="s">
        <v>29</v>
      </c>
      <c r="C236" t="s">
        <v>15</v>
      </c>
      <c r="D236" t="s">
        <v>16</v>
      </c>
      <c r="E236">
        <v>723</v>
      </c>
      <c r="F236">
        <v>401</v>
      </c>
      <c r="G236">
        <v>32</v>
      </c>
      <c r="H236">
        <v>12</v>
      </c>
      <c r="I236">
        <v>162.47</v>
      </c>
      <c r="J236">
        <v>0.1</v>
      </c>
      <c r="K236">
        <v>532</v>
      </c>
      <c r="L236">
        <v>0.71</v>
      </c>
      <c r="M236">
        <v>5</v>
      </c>
      <c r="N236" s="1">
        <f t="shared" si="57"/>
        <v>13.366666666666667</v>
      </c>
      <c r="O236" s="1">
        <f>N236*(1+Control_Panel!$B$2)</f>
        <v>13.366666666666667</v>
      </c>
      <c r="P236" s="12">
        <f t="shared" si="58"/>
        <v>7.9800498753117205E-2</v>
      </c>
      <c r="Q236" t="str" cm="1">
        <f t="array" ref="Q236">_xlfn.IFS(P236&lt;0.2,"Stable",P236&lt;=0.5,"Moderate",P236&gt;0.5,"Highly veriable")</f>
        <v>Stable</v>
      </c>
      <c r="R236" s="1">
        <f t="shared" si="59"/>
        <v>110.85125168440814</v>
      </c>
      <c r="S236" s="1">
        <f t="shared" si="60"/>
        <v>136.21791835107481</v>
      </c>
      <c r="T236" s="1">
        <f t="shared" si="61"/>
        <v>586.78208164892521</v>
      </c>
      <c r="U236" t="str">
        <f t="shared" si="62"/>
        <v xml:space="preserve"> Safe</v>
      </c>
      <c r="V236">
        <f t="shared" si="63"/>
        <v>4812</v>
      </c>
      <c r="W236" s="9">
        <f t="shared" si="64"/>
        <v>781805.64</v>
      </c>
      <c r="Y236">
        <f t="shared" si="65"/>
        <v>1.7528098039982928E-3</v>
      </c>
      <c r="Z236" s="12">
        <f t="shared" si="75"/>
        <v>0.76059639404651747</v>
      </c>
      <c r="AA236" t="str">
        <f t="shared" si="66"/>
        <v>A</v>
      </c>
      <c r="AB236" t="str">
        <f t="shared" si="67"/>
        <v>X</v>
      </c>
      <c r="AC236" t="str">
        <f t="shared" si="68"/>
        <v>AX</v>
      </c>
      <c r="AD236" t="str">
        <f t="shared" si="69"/>
        <v>Strict Control</v>
      </c>
      <c r="AE236" t="str">
        <f t="shared" si="70"/>
        <v>Daily</v>
      </c>
      <c r="AF236" t="str">
        <f t="shared" si="71"/>
        <v>Strict Replenishment</v>
      </c>
      <c r="AG236" t="str">
        <f t="shared" si="72"/>
        <v>Low</v>
      </c>
      <c r="AH236">
        <f t="shared" si="73"/>
        <v>50</v>
      </c>
      <c r="AI236" t="str">
        <f t="shared" si="74"/>
        <v>Medium</v>
      </c>
    </row>
    <row r="237" spans="1:35">
      <c r="A237" t="s">
        <v>275</v>
      </c>
      <c r="B237" t="s">
        <v>18</v>
      </c>
      <c r="C237" t="s">
        <v>22</v>
      </c>
      <c r="D237" t="s">
        <v>23</v>
      </c>
      <c r="E237">
        <v>362</v>
      </c>
      <c r="F237">
        <v>417</v>
      </c>
      <c r="G237">
        <v>56</v>
      </c>
      <c r="H237">
        <v>11</v>
      </c>
      <c r="I237">
        <v>155.62</v>
      </c>
      <c r="J237">
        <v>0.23</v>
      </c>
      <c r="K237">
        <v>230</v>
      </c>
      <c r="L237">
        <v>0.97</v>
      </c>
      <c r="M237">
        <v>1</v>
      </c>
      <c r="N237" s="1">
        <f t="shared" si="57"/>
        <v>13.9</v>
      </c>
      <c r="O237" s="1">
        <f>N237*(1+Control_Panel!$B$2)</f>
        <v>13.9</v>
      </c>
      <c r="P237" s="12">
        <f t="shared" si="58"/>
        <v>0.1342925659472422</v>
      </c>
      <c r="Q237" t="str" cm="1">
        <f t="array" ref="Q237">_xlfn.IFS(P237&lt;0.2,"Stable",P237&lt;=0.5,"Moderate",P237&gt;0.5,"Highly veriable")</f>
        <v>Stable</v>
      </c>
      <c r="R237" s="1">
        <f t="shared" si="59"/>
        <v>185.7309882599024</v>
      </c>
      <c r="S237" s="1">
        <f t="shared" si="60"/>
        <v>210.63098825990241</v>
      </c>
      <c r="T237" s="1">
        <f t="shared" si="61"/>
        <v>151.36901174009759</v>
      </c>
      <c r="U237" t="str">
        <f t="shared" si="62"/>
        <v xml:space="preserve"> Risk</v>
      </c>
      <c r="V237">
        <f t="shared" si="63"/>
        <v>5004</v>
      </c>
      <c r="W237" s="9">
        <f t="shared" si="64"/>
        <v>778722.48</v>
      </c>
      <c r="Y237">
        <f t="shared" si="65"/>
        <v>1.7458973531296914E-3</v>
      </c>
      <c r="Z237" s="12">
        <f t="shared" si="75"/>
        <v>0.76234229139964715</v>
      </c>
      <c r="AA237" t="str">
        <f t="shared" si="66"/>
        <v>A</v>
      </c>
      <c r="AB237" t="str">
        <f t="shared" si="67"/>
        <v>X</v>
      </c>
      <c r="AC237" t="str">
        <f t="shared" si="68"/>
        <v>AX</v>
      </c>
      <c r="AD237" t="str">
        <f t="shared" si="69"/>
        <v>Strict Control</v>
      </c>
      <c r="AE237" t="str">
        <f t="shared" si="70"/>
        <v>Daily</v>
      </c>
      <c r="AF237" t="str">
        <f t="shared" si="71"/>
        <v>Strict Replenishment</v>
      </c>
      <c r="AG237" t="str">
        <f t="shared" si="72"/>
        <v>Low</v>
      </c>
      <c r="AH237">
        <f t="shared" si="73"/>
        <v>40</v>
      </c>
      <c r="AI237" t="str">
        <f t="shared" si="74"/>
        <v>Low</v>
      </c>
    </row>
    <row r="238" spans="1:35">
      <c r="A238" t="s">
        <v>524</v>
      </c>
      <c r="B238" t="s">
        <v>40</v>
      </c>
      <c r="C238" t="s">
        <v>15</v>
      </c>
      <c r="D238" t="s">
        <v>23</v>
      </c>
      <c r="E238">
        <v>508</v>
      </c>
      <c r="F238">
        <v>476</v>
      </c>
      <c r="G238">
        <v>59</v>
      </c>
      <c r="H238">
        <v>30</v>
      </c>
      <c r="I238">
        <v>135.41</v>
      </c>
      <c r="J238">
        <v>0.11</v>
      </c>
      <c r="K238">
        <v>777</v>
      </c>
      <c r="L238">
        <v>0.75</v>
      </c>
      <c r="M238">
        <v>3</v>
      </c>
      <c r="N238" s="1">
        <f t="shared" si="57"/>
        <v>15.866666666666667</v>
      </c>
      <c r="O238" s="1">
        <f>N238*(1+Control_Panel!$B$2)</f>
        <v>15.866666666666667</v>
      </c>
      <c r="P238" s="12">
        <f t="shared" si="58"/>
        <v>0.12394957983193278</v>
      </c>
      <c r="Q238" t="str" cm="1">
        <f t="array" ref="Q238">_xlfn.IFS(P238&lt;0.2,"Stable",P238&lt;=0.5,"Moderate",P238&gt;0.5,"Highly veriable")</f>
        <v>Stable</v>
      </c>
      <c r="R238" s="1">
        <f t="shared" si="59"/>
        <v>323.15630892804802</v>
      </c>
      <c r="S238" s="1">
        <f t="shared" si="60"/>
        <v>369.02297559471469</v>
      </c>
      <c r="T238" s="1">
        <f t="shared" si="61"/>
        <v>138.97702440528531</v>
      </c>
      <c r="U238" t="str">
        <f t="shared" si="62"/>
        <v xml:space="preserve"> Risk</v>
      </c>
      <c r="V238">
        <f t="shared" si="63"/>
        <v>5712</v>
      </c>
      <c r="W238" s="9">
        <f t="shared" si="64"/>
        <v>773461.91999999993</v>
      </c>
      <c r="Y238">
        <f t="shared" si="65"/>
        <v>1.7341031671188032E-3</v>
      </c>
      <c r="Z238" s="12">
        <f t="shared" si="75"/>
        <v>0.7640763945667659</v>
      </c>
      <c r="AA238" t="str">
        <f t="shared" si="66"/>
        <v>A</v>
      </c>
      <c r="AB238" t="str">
        <f t="shared" si="67"/>
        <v>X</v>
      </c>
      <c r="AC238" t="str">
        <f t="shared" si="68"/>
        <v>AX</v>
      </c>
      <c r="AD238" t="str">
        <f t="shared" si="69"/>
        <v>Strict Control</v>
      </c>
      <c r="AE238" t="str">
        <f t="shared" si="70"/>
        <v>Daily</v>
      </c>
      <c r="AF238" t="str">
        <f t="shared" si="71"/>
        <v>Strict Replenishment</v>
      </c>
      <c r="AG238" t="str">
        <f t="shared" si="72"/>
        <v>Low</v>
      </c>
      <c r="AH238">
        <f t="shared" si="73"/>
        <v>40</v>
      </c>
      <c r="AI238" t="str">
        <f t="shared" si="74"/>
        <v>Low</v>
      </c>
    </row>
    <row r="239" spans="1:35">
      <c r="A239" t="s">
        <v>457</v>
      </c>
      <c r="B239" t="s">
        <v>18</v>
      </c>
      <c r="C239" t="s">
        <v>22</v>
      </c>
      <c r="D239" t="s">
        <v>19</v>
      </c>
      <c r="E239">
        <v>154</v>
      </c>
      <c r="F239">
        <v>423</v>
      </c>
      <c r="G239">
        <v>12</v>
      </c>
      <c r="H239">
        <v>3</v>
      </c>
      <c r="I239">
        <v>151.82</v>
      </c>
      <c r="J239">
        <v>0.22</v>
      </c>
      <c r="K239">
        <v>936</v>
      </c>
      <c r="L239">
        <v>0.98</v>
      </c>
      <c r="M239">
        <v>5</v>
      </c>
      <c r="N239" s="1">
        <f t="shared" si="57"/>
        <v>14.1</v>
      </c>
      <c r="O239" s="1">
        <f>N239*(1+Control_Panel!$B$2)</f>
        <v>14.1</v>
      </c>
      <c r="P239" s="12">
        <f t="shared" si="58"/>
        <v>2.8368794326241134E-2</v>
      </c>
      <c r="Q239" t="str" cm="1">
        <f t="array" ref="Q239">_xlfn.IFS(P239&lt;0.2,"Stable",P239&lt;=0.5,"Moderate",P239&gt;0.5,"Highly veriable")</f>
        <v>Stable</v>
      </c>
      <c r="R239" s="1">
        <f t="shared" si="59"/>
        <v>20.784609690826528</v>
      </c>
      <c r="S239" s="1">
        <f t="shared" si="60"/>
        <v>37.88460969082653</v>
      </c>
      <c r="T239" s="1">
        <f t="shared" si="61"/>
        <v>116.11539030917348</v>
      </c>
      <c r="U239" t="str">
        <f t="shared" si="62"/>
        <v xml:space="preserve"> Safe</v>
      </c>
      <c r="V239">
        <f t="shared" si="63"/>
        <v>5076</v>
      </c>
      <c r="W239" s="9">
        <f t="shared" si="64"/>
        <v>770638.32</v>
      </c>
      <c r="Y239">
        <f t="shared" si="65"/>
        <v>1.7277726502878303E-3</v>
      </c>
      <c r="Z239" s="12">
        <f t="shared" si="75"/>
        <v>0.76580416721705369</v>
      </c>
      <c r="AA239" t="str">
        <f t="shared" si="66"/>
        <v>A</v>
      </c>
      <c r="AB239" t="str">
        <f t="shared" si="67"/>
        <v>X</v>
      </c>
      <c r="AC239" t="str">
        <f t="shared" si="68"/>
        <v>AX</v>
      </c>
      <c r="AD239" t="str">
        <f t="shared" si="69"/>
        <v>Strict Control</v>
      </c>
      <c r="AE239" t="str">
        <f t="shared" si="70"/>
        <v>Daily</v>
      </c>
      <c r="AF239" t="str">
        <f t="shared" si="71"/>
        <v>Strict Replenishment</v>
      </c>
      <c r="AG239" t="str">
        <f t="shared" si="72"/>
        <v>Low</v>
      </c>
      <c r="AH239">
        <f t="shared" si="73"/>
        <v>50</v>
      </c>
      <c r="AI239" t="str">
        <f t="shared" si="74"/>
        <v>Medium</v>
      </c>
    </row>
    <row r="240" spans="1:35">
      <c r="A240" t="s">
        <v>513</v>
      </c>
      <c r="B240" t="s">
        <v>40</v>
      </c>
      <c r="C240" t="s">
        <v>22</v>
      </c>
      <c r="D240" t="s">
        <v>41</v>
      </c>
      <c r="E240">
        <v>595</v>
      </c>
      <c r="F240">
        <v>474</v>
      </c>
      <c r="G240">
        <v>12</v>
      </c>
      <c r="H240">
        <v>27</v>
      </c>
      <c r="I240">
        <v>135.22</v>
      </c>
      <c r="J240">
        <v>0.08</v>
      </c>
      <c r="K240">
        <v>421</v>
      </c>
      <c r="L240">
        <v>0.93</v>
      </c>
      <c r="M240">
        <v>5</v>
      </c>
      <c r="N240" s="1">
        <f t="shared" si="57"/>
        <v>15.8</v>
      </c>
      <c r="O240" s="1">
        <f>N240*(1+Control_Panel!$B$2)</f>
        <v>15.8</v>
      </c>
      <c r="P240" s="12">
        <f t="shared" si="58"/>
        <v>2.5316455696202531E-2</v>
      </c>
      <c r="Q240" t="str" cm="1">
        <f t="array" ref="Q240">_xlfn.IFS(P240&lt;0.2,"Stable",P240&lt;=0.5,"Moderate",P240&gt;0.5,"Highly veriable")</f>
        <v>Stable</v>
      </c>
      <c r="R240" s="1">
        <f t="shared" si="59"/>
        <v>62.353829072479584</v>
      </c>
      <c r="S240" s="1">
        <f t="shared" si="60"/>
        <v>105.15382907247958</v>
      </c>
      <c r="T240" s="1">
        <f t="shared" si="61"/>
        <v>489.8461709275204</v>
      </c>
      <c r="U240" t="str">
        <f t="shared" si="62"/>
        <v xml:space="preserve"> Safe</v>
      </c>
      <c r="V240">
        <f t="shared" si="63"/>
        <v>5688</v>
      </c>
      <c r="W240" s="9">
        <f t="shared" si="64"/>
        <v>769131.36</v>
      </c>
      <c r="Y240">
        <f t="shared" si="65"/>
        <v>1.724394042962571E-3</v>
      </c>
      <c r="Z240" s="12">
        <f t="shared" si="75"/>
        <v>0.76752856126001623</v>
      </c>
      <c r="AA240" t="str">
        <f t="shared" si="66"/>
        <v>A</v>
      </c>
      <c r="AB240" t="str">
        <f t="shared" si="67"/>
        <v>X</v>
      </c>
      <c r="AC240" t="str">
        <f t="shared" si="68"/>
        <v>AX</v>
      </c>
      <c r="AD240" t="str">
        <f t="shared" si="69"/>
        <v>Strict Control</v>
      </c>
      <c r="AE240" t="str">
        <f t="shared" si="70"/>
        <v>Daily</v>
      </c>
      <c r="AF240" t="str">
        <f t="shared" si="71"/>
        <v>Strict Replenishment</v>
      </c>
      <c r="AG240" t="str">
        <f t="shared" si="72"/>
        <v>Low</v>
      </c>
      <c r="AH240">
        <f t="shared" si="73"/>
        <v>50</v>
      </c>
      <c r="AI240" t="str">
        <f t="shared" si="74"/>
        <v>Medium</v>
      </c>
    </row>
    <row r="241" spans="1:35">
      <c r="A241" t="s">
        <v>488</v>
      </c>
      <c r="B241" t="s">
        <v>18</v>
      </c>
      <c r="C241" t="s">
        <v>22</v>
      </c>
      <c r="D241" t="s">
        <v>16</v>
      </c>
      <c r="E241">
        <v>63</v>
      </c>
      <c r="F241">
        <v>135</v>
      </c>
      <c r="G241">
        <v>68</v>
      </c>
      <c r="H241">
        <v>20</v>
      </c>
      <c r="I241">
        <v>473.31</v>
      </c>
      <c r="J241">
        <v>0.22</v>
      </c>
      <c r="K241">
        <v>687</v>
      </c>
      <c r="L241">
        <v>0.77</v>
      </c>
      <c r="M241">
        <v>9</v>
      </c>
      <c r="N241" s="1">
        <f t="shared" si="57"/>
        <v>4.5</v>
      </c>
      <c r="O241" s="1">
        <f>N241*(1+Control_Panel!$B$2)</f>
        <v>4.5</v>
      </c>
      <c r="P241" s="12">
        <f t="shared" si="58"/>
        <v>0.50370370370370365</v>
      </c>
      <c r="Q241" t="str" cm="1">
        <f t="array" ref="Q241">_xlfn.IFS(P241&lt;0.2,"Stable",P241&lt;=0.5,"Moderate",P241&gt;0.5,"Highly veriable")</f>
        <v>Highly veriable</v>
      </c>
      <c r="R241" s="1">
        <f t="shared" si="59"/>
        <v>304.10524493997139</v>
      </c>
      <c r="S241" s="1">
        <f t="shared" si="60"/>
        <v>328.60524493997139</v>
      </c>
      <c r="T241" s="1">
        <f t="shared" si="61"/>
        <v>-265.60524493997139</v>
      </c>
      <c r="U241" t="str">
        <f t="shared" si="62"/>
        <v xml:space="preserve"> Need to Order</v>
      </c>
      <c r="V241">
        <f t="shared" si="63"/>
        <v>1620</v>
      </c>
      <c r="W241" s="9">
        <f t="shared" si="64"/>
        <v>766762.2</v>
      </c>
      <c r="Y241">
        <f t="shared" si="65"/>
        <v>1.7190823815178662E-3</v>
      </c>
      <c r="Z241" s="12">
        <f t="shared" si="75"/>
        <v>0.76924764364153408</v>
      </c>
      <c r="AA241" t="str">
        <f t="shared" si="66"/>
        <v>A</v>
      </c>
      <c r="AB241" t="str">
        <f t="shared" si="67"/>
        <v>Z</v>
      </c>
      <c r="AC241" t="str">
        <f t="shared" si="68"/>
        <v>AZ</v>
      </c>
      <c r="AD241" t="str">
        <f t="shared" si="69"/>
        <v>Risk-Control Strategy</v>
      </c>
      <c r="AE241" t="str">
        <f t="shared" si="70"/>
        <v>Daily + Manager Review</v>
      </c>
      <c r="AF241" t="str">
        <f t="shared" si="71"/>
        <v>Increase Safety Stock</v>
      </c>
      <c r="AG241" t="str">
        <f t="shared" si="72"/>
        <v>Critical</v>
      </c>
      <c r="AH241">
        <f t="shared" si="73"/>
        <v>80</v>
      </c>
      <c r="AI241" t="str">
        <f t="shared" si="74"/>
        <v>Critical</v>
      </c>
    </row>
    <row r="242" spans="1:35">
      <c r="A242" t="s">
        <v>446</v>
      </c>
      <c r="B242" t="s">
        <v>40</v>
      </c>
      <c r="C242" t="s">
        <v>22</v>
      </c>
      <c r="D242" t="s">
        <v>16</v>
      </c>
      <c r="E242">
        <v>980</v>
      </c>
      <c r="F242">
        <v>261</v>
      </c>
      <c r="G242">
        <v>45</v>
      </c>
      <c r="H242">
        <v>26</v>
      </c>
      <c r="I242">
        <v>244.76</v>
      </c>
      <c r="J242">
        <v>0.22</v>
      </c>
      <c r="K242">
        <v>647</v>
      </c>
      <c r="L242">
        <v>0.82</v>
      </c>
      <c r="M242">
        <v>9</v>
      </c>
      <c r="N242" s="1">
        <f t="shared" si="57"/>
        <v>8.6999999999999993</v>
      </c>
      <c r="O242" s="1">
        <f>N242*(1+Control_Panel!$B$2)</f>
        <v>8.6999999999999993</v>
      </c>
      <c r="P242" s="12">
        <f t="shared" si="58"/>
        <v>0.17241379310344829</v>
      </c>
      <c r="Q242" t="str" cm="1">
        <f t="array" ref="Q242">_xlfn.IFS(P242&lt;0.2,"Stable",P242&lt;=0.5,"Moderate",P242&gt;0.5,"Highly veriable")</f>
        <v>Stable</v>
      </c>
      <c r="R242" s="1">
        <f t="shared" si="59"/>
        <v>229.4558781116753</v>
      </c>
      <c r="S242" s="1">
        <f t="shared" si="60"/>
        <v>264.15587811167529</v>
      </c>
      <c r="T242" s="1">
        <f t="shared" si="61"/>
        <v>715.84412188832471</v>
      </c>
      <c r="U242" t="str">
        <f t="shared" si="62"/>
        <v xml:space="preserve"> Safe</v>
      </c>
      <c r="V242">
        <f t="shared" si="63"/>
        <v>3132</v>
      </c>
      <c r="W242" s="9">
        <f t="shared" si="64"/>
        <v>766588.32</v>
      </c>
      <c r="Y242">
        <f t="shared" si="65"/>
        <v>1.7186925422111056E-3</v>
      </c>
      <c r="Z242" s="12">
        <f t="shared" si="75"/>
        <v>0.77096633618374522</v>
      </c>
      <c r="AA242" t="str">
        <f t="shared" si="66"/>
        <v>A</v>
      </c>
      <c r="AB242" t="str">
        <f t="shared" si="67"/>
        <v>X</v>
      </c>
      <c r="AC242" t="str">
        <f t="shared" si="68"/>
        <v>AX</v>
      </c>
      <c r="AD242" t="str">
        <f t="shared" si="69"/>
        <v>Strict Control</v>
      </c>
      <c r="AE242" t="str">
        <f t="shared" si="70"/>
        <v>Daily</v>
      </c>
      <c r="AF242" t="str">
        <f t="shared" si="71"/>
        <v>Strict Replenishment</v>
      </c>
      <c r="AG242" t="str">
        <f t="shared" si="72"/>
        <v>Low</v>
      </c>
      <c r="AH242">
        <f t="shared" si="73"/>
        <v>60</v>
      </c>
      <c r="AI242" t="str">
        <f t="shared" si="74"/>
        <v>High</v>
      </c>
    </row>
    <row r="243" spans="1:35">
      <c r="A243" t="s">
        <v>461</v>
      </c>
      <c r="B243" t="s">
        <v>29</v>
      </c>
      <c r="C243" t="s">
        <v>22</v>
      </c>
      <c r="D243" t="s">
        <v>19</v>
      </c>
      <c r="E243">
        <v>143</v>
      </c>
      <c r="F243">
        <v>236</v>
      </c>
      <c r="G243">
        <v>30</v>
      </c>
      <c r="H243">
        <v>17</v>
      </c>
      <c r="I243">
        <v>269.77</v>
      </c>
      <c r="J243">
        <v>0.21</v>
      </c>
      <c r="K243">
        <v>886</v>
      </c>
      <c r="L243">
        <v>0.92</v>
      </c>
      <c r="M243">
        <v>10</v>
      </c>
      <c r="N243" s="1">
        <f t="shared" si="57"/>
        <v>7.8666666666666663</v>
      </c>
      <c r="O243" s="1">
        <f>N243*(1+Control_Panel!$B$2)</f>
        <v>7.8666666666666663</v>
      </c>
      <c r="P243" s="12">
        <f t="shared" si="58"/>
        <v>0.1271186440677966</v>
      </c>
      <c r="Q243" t="str" cm="1">
        <f t="array" ref="Q243">_xlfn.IFS(P243&lt;0.2,"Stable",P243&lt;=0.5,"Moderate",P243&gt;0.5,"Highly veriable")</f>
        <v>Stable</v>
      </c>
      <c r="R243" s="1">
        <f t="shared" si="59"/>
        <v>123.69316876852982</v>
      </c>
      <c r="S243" s="1">
        <f t="shared" si="60"/>
        <v>148.55983543519648</v>
      </c>
      <c r="T243" s="1">
        <f t="shared" si="61"/>
        <v>-5.5598354351964758</v>
      </c>
      <c r="U243" t="str">
        <f t="shared" si="62"/>
        <v xml:space="preserve"> Need to Order</v>
      </c>
      <c r="V243">
        <f t="shared" si="63"/>
        <v>2832</v>
      </c>
      <c r="W243" s="9">
        <f t="shared" si="64"/>
        <v>763988.6399999999</v>
      </c>
      <c r="Y243">
        <f t="shared" si="65"/>
        <v>1.7128640544666856E-3</v>
      </c>
      <c r="Z243" s="12">
        <f t="shared" si="75"/>
        <v>0.77267920023821191</v>
      </c>
      <c r="AA243" t="str">
        <f t="shared" si="66"/>
        <v>A</v>
      </c>
      <c r="AB243" t="str">
        <f t="shared" si="67"/>
        <v>X</v>
      </c>
      <c r="AC243" t="str">
        <f t="shared" si="68"/>
        <v>AX</v>
      </c>
      <c r="AD243" t="str">
        <f t="shared" si="69"/>
        <v>Strict Control</v>
      </c>
      <c r="AE243" t="str">
        <f t="shared" si="70"/>
        <v>Daily</v>
      </c>
      <c r="AF243" t="str">
        <f t="shared" si="71"/>
        <v>Strict Replenishment</v>
      </c>
      <c r="AG243" t="str">
        <f t="shared" si="72"/>
        <v>Low</v>
      </c>
      <c r="AH243">
        <f t="shared" si="73"/>
        <v>60</v>
      </c>
      <c r="AI243" t="str">
        <f t="shared" si="74"/>
        <v>High</v>
      </c>
    </row>
    <row r="244" spans="1:35">
      <c r="A244" t="s">
        <v>190</v>
      </c>
      <c r="B244" t="s">
        <v>38</v>
      </c>
      <c r="C244" t="s">
        <v>15</v>
      </c>
      <c r="D244" t="s">
        <v>23</v>
      </c>
      <c r="E244">
        <v>162</v>
      </c>
      <c r="F244">
        <v>412</v>
      </c>
      <c r="G244">
        <v>81</v>
      </c>
      <c r="H244">
        <v>29</v>
      </c>
      <c r="I244">
        <v>154.44999999999999</v>
      </c>
      <c r="J244">
        <v>0.09</v>
      </c>
      <c r="K244">
        <v>944</v>
      </c>
      <c r="L244">
        <v>0.97</v>
      </c>
      <c r="M244">
        <v>2</v>
      </c>
      <c r="N244" s="1">
        <f t="shared" si="57"/>
        <v>13.733333333333333</v>
      </c>
      <c r="O244" s="1">
        <f>N244*(1+Control_Panel!$B$2)</f>
        <v>13.733333333333333</v>
      </c>
      <c r="P244" s="12">
        <f t="shared" si="58"/>
        <v>0.19660194174757281</v>
      </c>
      <c r="Q244" t="str" cm="1">
        <f t="array" ref="Q244">_xlfn.IFS(P244&lt;0.2,"Stable",P244&lt;=0.5,"Moderate",P244&gt;0.5,"Highly veriable")</f>
        <v>Stable</v>
      </c>
      <c r="R244" s="1">
        <f t="shared" si="59"/>
        <v>436.19834937789483</v>
      </c>
      <c r="S244" s="1">
        <f t="shared" si="60"/>
        <v>478.93168271122818</v>
      </c>
      <c r="T244" s="1">
        <f t="shared" si="61"/>
        <v>-316.93168271122818</v>
      </c>
      <c r="U244" t="str">
        <f t="shared" si="62"/>
        <v xml:space="preserve"> Need to Order</v>
      </c>
      <c r="V244">
        <f t="shared" si="63"/>
        <v>4944</v>
      </c>
      <c r="W244" s="9">
        <f t="shared" si="64"/>
        <v>763600.79999999993</v>
      </c>
      <c r="Y244">
        <f t="shared" si="65"/>
        <v>1.7119945164132345E-3</v>
      </c>
      <c r="Z244" s="12">
        <f t="shared" si="75"/>
        <v>0.77439119475462515</v>
      </c>
      <c r="AA244" t="str">
        <f t="shared" si="66"/>
        <v>A</v>
      </c>
      <c r="AB244" t="str">
        <f t="shared" si="67"/>
        <v>X</v>
      </c>
      <c r="AC244" t="str">
        <f t="shared" si="68"/>
        <v>AX</v>
      </c>
      <c r="AD244" t="str">
        <f t="shared" si="69"/>
        <v>Strict Control</v>
      </c>
      <c r="AE244" t="str">
        <f t="shared" si="70"/>
        <v>Daily</v>
      </c>
      <c r="AF244" t="str">
        <f t="shared" si="71"/>
        <v>Strict Replenishment</v>
      </c>
      <c r="AG244" t="str">
        <f t="shared" si="72"/>
        <v>Low</v>
      </c>
      <c r="AH244">
        <f t="shared" si="73"/>
        <v>40</v>
      </c>
      <c r="AI244" t="str">
        <f t="shared" si="74"/>
        <v>Low</v>
      </c>
    </row>
    <row r="245" spans="1:35">
      <c r="A245" t="s">
        <v>375</v>
      </c>
      <c r="B245" t="s">
        <v>21</v>
      </c>
      <c r="C245" t="s">
        <v>22</v>
      </c>
      <c r="D245" t="s">
        <v>25</v>
      </c>
      <c r="E245">
        <v>896</v>
      </c>
      <c r="F245">
        <v>396</v>
      </c>
      <c r="G245">
        <v>18</v>
      </c>
      <c r="H245">
        <v>26</v>
      </c>
      <c r="I245">
        <v>160.5</v>
      </c>
      <c r="J245">
        <v>7.0000000000000007E-2</v>
      </c>
      <c r="K245">
        <v>754</v>
      </c>
      <c r="L245">
        <v>0.72</v>
      </c>
      <c r="M245">
        <v>6</v>
      </c>
      <c r="N245" s="1">
        <f t="shared" si="57"/>
        <v>13.2</v>
      </c>
      <c r="O245" s="1">
        <f>N245*(1+Control_Panel!$B$2)</f>
        <v>13.2</v>
      </c>
      <c r="P245" s="12">
        <f t="shared" si="58"/>
        <v>4.5454545454545456E-2</v>
      </c>
      <c r="Q245" t="str" cm="1">
        <f t="array" ref="Q245">_xlfn.IFS(P245&lt;0.2,"Stable",P245&lt;=0.5,"Moderate",P245&gt;0.5,"Highly veriable")</f>
        <v>Stable</v>
      </c>
      <c r="R245" s="1">
        <f t="shared" si="59"/>
        <v>91.782351244670124</v>
      </c>
      <c r="S245" s="1">
        <f t="shared" si="60"/>
        <v>130.98235124467013</v>
      </c>
      <c r="T245" s="1">
        <f t="shared" si="61"/>
        <v>765.0176487553299</v>
      </c>
      <c r="U245" t="str">
        <f t="shared" si="62"/>
        <v xml:space="preserve"> Safe</v>
      </c>
      <c r="V245">
        <f t="shared" si="63"/>
        <v>4752</v>
      </c>
      <c r="W245" s="9">
        <f t="shared" si="64"/>
        <v>762696</v>
      </c>
      <c r="Y245">
        <f t="shared" si="65"/>
        <v>1.7099659530088345E-3</v>
      </c>
      <c r="Z245" s="12">
        <f t="shared" si="75"/>
        <v>0.77610116070763402</v>
      </c>
      <c r="AA245" t="str">
        <f t="shared" si="66"/>
        <v>A</v>
      </c>
      <c r="AB245" t="str">
        <f t="shared" si="67"/>
        <v>X</v>
      </c>
      <c r="AC245" t="str">
        <f t="shared" si="68"/>
        <v>AX</v>
      </c>
      <c r="AD245" t="str">
        <f t="shared" si="69"/>
        <v>Strict Control</v>
      </c>
      <c r="AE245" t="str">
        <f t="shared" si="70"/>
        <v>Daily</v>
      </c>
      <c r="AF245" t="str">
        <f t="shared" si="71"/>
        <v>Strict Replenishment</v>
      </c>
      <c r="AG245" t="str">
        <f t="shared" si="72"/>
        <v>Low</v>
      </c>
      <c r="AH245">
        <f t="shared" si="73"/>
        <v>50</v>
      </c>
      <c r="AI245" t="str">
        <f t="shared" si="74"/>
        <v>Medium</v>
      </c>
    </row>
    <row r="246" spans="1:35">
      <c r="A246" t="s">
        <v>386</v>
      </c>
      <c r="B246" t="s">
        <v>36</v>
      </c>
      <c r="C246" t="s">
        <v>22</v>
      </c>
      <c r="D246" t="s">
        <v>23</v>
      </c>
      <c r="E246">
        <v>578</v>
      </c>
      <c r="F246">
        <v>171</v>
      </c>
      <c r="G246">
        <v>89</v>
      </c>
      <c r="H246">
        <v>25</v>
      </c>
      <c r="I246">
        <v>367.39</v>
      </c>
      <c r="J246">
        <v>7.0000000000000007E-2</v>
      </c>
      <c r="K246">
        <v>358</v>
      </c>
      <c r="L246">
        <v>0.9</v>
      </c>
      <c r="M246">
        <v>2</v>
      </c>
      <c r="N246" s="1">
        <f t="shared" si="57"/>
        <v>5.7</v>
      </c>
      <c r="O246" s="1">
        <f>N246*(1+Control_Panel!$B$2)</f>
        <v>5.7</v>
      </c>
      <c r="P246" s="12">
        <f t="shared" si="58"/>
        <v>0.52046783625730997</v>
      </c>
      <c r="Q246" t="str" cm="1">
        <f t="array" ref="Q246">_xlfn.IFS(P246&lt;0.2,"Stable",P246&lt;=0.5,"Moderate",P246&gt;0.5,"Highly veriable")</f>
        <v>Highly veriable</v>
      </c>
      <c r="R246" s="1">
        <f t="shared" si="59"/>
        <v>445</v>
      </c>
      <c r="S246" s="1">
        <f t="shared" si="60"/>
        <v>475.7</v>
      </c>
      <c r="T246" s="1">
        <f t="shared" si="61"/>
        <v>102.30000000000001</v>
      </c>
      <c r="U246" t="str">
        <f t="shared" si="62"/>
        <v xml:space="preserve"> Risk</v>
      </c>
      <c r="V246">
        <f t="shared" si="63"/>
        <v>2052</v>
      </c>
      <c r="W246" s="9">
        <f t="shared" si="64"/>
        <v>753884.28</v>
      </c>
      <c r="Y246">
        <f t="shared" si="65"/>
        <v>1.6902100591960349E-3</v>
      </c>
      <c r="Z246" s="12">
        <f t="shared" si="75"/>
        <v>0.77779137076683003</v>
      </c>
      <c r="AA246" t="str">
        <f t="shared" si="66"/>
        <v>A</v>
      </c>
      <c r="AB246" t="str">
        <f t="shared" si="67"/>
        <v>Z</v>
      </c>
      <c r="AC246" t="str">
        <f t="shared" si="68"/>
        <v>AZ</v>
      </c>
      <c r="AD246" t="str">
        <f t="shared" si="69"/>
        <v>Risk-Control Strategy</v>
      </c>
      <c r="AE246" t="str">
        <f t="shared" si="70"/>
        <v>Daily + Manager Review</v>
      </c>
      <c r="AF246" t="str">
        <f t="shared" si="71"/>
        <v>Increase Safety Stock</v>
      </c>
      <c r="AG246" t="str">
        <f t="shared" si="72"/>
        <v>Critical</v>
      </c>
      <c r="AH246">
        <f t="shared" si="73"/>
        <v>60</v>
      </c>
      <c r="AI246" t="str">
        <f t="shared" si="74"/>
        <v>High</v>
      </c>
    </row>
    <row r="247" spans="1:35">
      <c r="A247" t="s">
        <v>130</v>
      </c>
      <c r="B247" t="s">
        <v>34</v>
      </c>
      <c r="C247" t="s">
        <v>15</v>
      </c>
      <c r="D247" t="s">
        <v>23</v>
      </c>
      <c r="E247">
        <v>406</v>
      </c>
      <c r="F247">
        <v>301</v>
      </c>
      <c r="G247">
        <v>43</v>
      </c>
      <c r="H247">
        <v>9</v>
      </c>
      <c r="I247">
        <v>207.75</v>
      </c>
      <c r="J247">
        <v>0.06</v>
      </c>
      <c r="K247">
        <v>514</v>
      </c>
      <c r="L247">
        <v>0.94</v>
      </c>
      <c r="M247">
        <v>5</v>
      </c>
      <c r="N247" s="1">
        <f t="shared" si="57"/>
        <v>10.033333333333333</v>
      </c>
      <c r="O247" s="1">
        <f>N247*(1+Control_Panel!$B$2)</f>
        <v>10.033333333333333</v>
      </c>
      <c r="P247" s="12">
        <f t="shared" si="58"/>
        <v>0.14285714285714285</v>
      </c>
      <c r="Q247" t="str" cm="1">
        <f t="array" ref="Q247">_xlfn.IFS(P247&lt;0.2,"Stable",P247&lt;=0.5,"Moderate",P247&gt;0.5,"Highly veriable")</f>
        <v>Stable</v>
      </c>
      <c r="R247" s="1">
        <f t="shared" si="59"/>
        <v>129</v>
      </c>
      <c r="S247" s="1">
        <f t="shared" si="60"/>
        <v>148.03333333333333</v>
      </c>
      <c r="T247" s="1">
        <f t="shared" si="61"/>
        <v>257.9666666666667</v>
      </c>
      <c r="U247" t="str">
        <f t="shared" si="62"/>
        <v xml:space="preserve"> Safe</v>
      </c>
      <c r="V247">
        <f t="shared" si="63"/>
        <v>3612</v>
      </c>
      <c r="W247" s="9">
        <f t="shared" si="64"/>
        <v>750393</v>
      </c>
      <c r="Y247">
        <f t="shared" si="65"/>
        <v>1.682382602473539E-3</v>
      </c>
      <c r="Z247" s="12">
        <f t="shared" si="75"/>
        <v>0.77947375336930358</v>
      </c>
      <c r="AA247" t="str">
        <f t="shared" si="66"/>
        <v>A</v>
      </c>
      <c r="AB247" t="str">
        <f t="shared" si="67"/>
        <v>X</v>
      </c>
      <c r="AC247" t="str">
        <f t="shared" si="68"/>
        <v>AX</v>
      </c>
      <c r="AD247" t="str">
        <f t="shared" si="69"/>
        <v>Strict Control</v>
      </c>
      <c r="AE247" t="str">
        <f t="shared" si="70"/>
        <v>Daily</v>
      </c>
      <c r="AF247" t="str">
        <f t="shared" si="71"/>
        <v>Strict Replenishment</v>
      </c>
      <c r="AG247" t="str">
        <f t="shared" si="72"/>
        <v>Low</v>
      </c>
      <c r="AH247">
        <f t="shared" si="73"/>
        <v>50</v>
      </c>
      <c r="AI247" t="str">
        <f t="shared" si="74"/>
        <v>Medium</v>
      </c>
    </row>
    <row r="248" spans="1:35">
      <c r="A248" t="s">
        <v>487</v>
      </c>
      <c r="B248" t="s">
        <v>36</v>
      </c>
      <c r="C248" t="s">
        <v>22</v>
      </c>
      <c r="D248" t="s">
        <v>16</v>
      </c>
      <c r="E248">
        <v>617</v>
      </c>
      <c r="F248">
        <v>244</v>
      </c>
      <c r="G248">
        <v>66</v>
      </c>
      <c r="H248">
        <v>7</v>
      </c>
      <c r="I248">
        <v>255.27</v>
      </c>
      <c r="J248">
        <v>0.06</v>
      </c>
      <c r="K248">
        <v>397</v>
      </c>
      <c r="L248">
        <v>0.75</v>
      </c>
      <c r="M248">
        <v>8</v>
      </c>
      <c r="N248" s="1">
        <f t="shared" si="57"/>
        <v>8.1333333333333329</v>
      </c>
      <c r="O248" s="1">
        <f>N248*(1+Control_Panel!$B$2)</f>
        <v>8.1333333333333329</v>
      </c>
      <c r="P248" s="12">
        <f t="shared" si="58"/>
        <v>0.27049180327868855</v>
      </c>
      <c r="Q248" t="str" cm="1">
        <f t="array" ref="Q248">_xlfn.IFS(P248&lt;0.2,"Stable",P248&lt;=0.5,"Moderate",P248&gt;0.5,"Highly veriable")</f>
        <v>Moderate</v>
      </c>
      <c r="R248" s="1">
        <f t="shared" si="59"/>
        <v>174.61958653026298</v>
      </c>
      <c r="S248" s="1">
        <f t="shared" si="60"/>
        <v>189.7529198635963</v>
      </c>
      <c r="T248" s="1">
        <f t="shared" si="61"/>
        <v>427.24708013640372</v>
      </c>
      <c r="U248" t="str">
        <f t="shared" si="62"/>
        <v xml:space="preserve"> Safe</v>
      </c>
      <c r="V248">
        <f t="shared" si="63"/>
        <v>2928</v>
      </c>
      <c r="W248" s="9">
        <f t="shared" si="64"/>
        <v>747430.56</v>
      </c>
      <c r="Y248">
        <f t="shared" si="65"/>
        <v>1.6757408060856841E-3</v>
      </c>
      <c r="Z248" s="12">
        <f t="shared" si="75"/>
        <v>0.78114949417538926</v>
      </c>
      <c r="AA248" t="str">
        <f t="shared" si="66"/>
        <v>A</v>
      </c>
      <c r="AB248" t="str">
        <f t="shared" si="67"/>
        <v>Y</v>
      </c>
      <c r="AC248" t="str">
        <f t="shared" si="68"/>
        <v>AY</v>
      </c>
      <c r="AD248" t="str">
        <f t="shared" si="69"/>
        <v>Frequent Monitoring</v>
      </c>
      <c r="AE248" t="str">
        <f t="shared" si="70"/>
        <v>Every 2 Days</v>
      </c>
      <c r="AF248" t="str">
        <f t="shared" si="71"/>
        <v>Frequent Monitoring</v>
      </c>
      <c r="AG248" t="str">
        <f t="shared" si="72"/>
        <v>High</v>
      </c>
      <c r="AH248">
        <f t="shared" si="73"/>
        <v>70</v>
      </c>
      <c r="AI248" t="str">
        <f t="shared" si="74"/>
        <v>Critical</v>
      </c>
    </row>
    <row r="249" spans="1:35">
      <c r="A249" t="s">
        <v>225</v>
      </c>
      <c r="B249" t="s">
        <v>40</v>
      </c>
      <c r="C249" t="s">
        <v>15</v>
      </c>
      <c r="D249" t="s">
        <v>16</v>
      </c>
      <c r="E249">
        <v>354</v>
      </c>
      <c r="F249">
        <v>169</v>
      </c>
      <c r="G249">
        <v>21</v>
      </c>
      <c r="H249">
        <v>21</v>
      </c>
      <c r="I249">
        <v>368.33</v>
      </c>
      <c r="J249">
        <v>0.23</v>
      </c>
      <c r="K249">
        <v>768</v>
      </c>
      <c r="L249">
        <v>0.74</v>
      </c>
      <c r="M249">
        <v>4</v>
      </c>
      <c r="N249" s="1">
        <f t="shared" si="57"/>
        <v>5.6333333333333337</v>
      </c>
      <c r="O249" s="1">
        <f>N249*(1+Control_Panel!$B$2)</f>
        <v>5.6333333333333337</v>
      </c>
      <c r="P249" s="12">
        <f t="shared" si="58"/>
        <v>0.1242603550295858</v>
      </c>
      <c r="Q249" t="str" cm="1">
        <f t="array" ref="Q249">_xlfn.IFS(P249&lt;0.2,"Stable",P249&lt;=0.5,"Moderate",P249&gt;0.5,"Highly veriable")</f>
        <v>Stable</v>
      </c>
      <c r="R249" s="1">
        <f t="shared" si="59"/>
        <v>96.234089594072643</v>
      </c>
      <c r="S249" s="1">
        <f t="shared" si="60"/>
        <v>122.86742292740598</v>
      </c>
      <c r="T249" s="1">
        <f t="shared" si="61"/>
        <v>231.13257707259402</v>
      </c>
      <c r="U249" t="str">
        <f t="shared" si="62"/>
        <v xml:space="preserve"> Safe</v>
      </c>
      <c r="V249">
        <f t="shared" si="63"/>
        <v>2028</v>
      </c>
      <c r="W249" s="9">
        <f t="shared" si="64"/>
        <v>746973.24</v>
      </c>
      <c r="Y249">
        <f t="shared" si="65"/>
        <v>1.6747154937336722E-3</v>
      </c>
      <c r="Z249" s="12">
        <f t="shared" si="75"/>
        <v>0.78282420966912292</v>
      </c>
      <c r="AA249" t="str">
        <f t="shared" si="66"/>
        <v>A</v>
      </c>
      <c r="AB249" t="str">
        <f t="shared" si="67"/>
        <v>X</v>
      </c>
      <c r="AC249" t="str">
        <f t="shared" si="68"/>
        <v>AX</v>
      </c>
      <c r="AD249" t="str">
        <f t="shared" si="69"/>
        <v>Strict Control</v>
      </c>
      <c r="AE249" t="str">
        <f t="shared" si="70"/>
        <v>Daily</v>
      </c>
      <c r="AF249" t="str">
        <f t="shared" si="71"/>
        <v>Strict Replenishment</v>
      </c>
      <c r="AG249" t="str">
        <f t="shared" si="72"/>
        <v>Low</v>
      </c>
      <c r="AH249">
        <f t="shared" si="73"/>
        <v>40</v>
      </c>
      <c r="AI249" t="str">
        <f t="shared" si="74"/>
        <v>Low</v>
      </c>
    </row>
    <row r="250" spans="1:35">
      <c r="A250" t="s">
        <v>348</v>
      </c>
      <c r="B250" t="s">
        <v>34</v>
      </c>
      <c r="C250" t="s">
        <v>15</v>
      </c>
      <c r="D250" t="s">
        <v>25</v>
      </c>
      <c r="E250">
        <v>439</v>
      </c>
      <c r="F250">
        <v>383</v>
      </c>
      <c r="G250">
        <v>20</v>
      </c>
      <c r="H250">
        <v>22</v>
      </c>
      <c r="I250">
        <v>162.09</v>
      </c>
      <c r="J250">
        <v>0.22</v>
      </c>
      <c r="K250">
        <v>316</v>
      </c>
      <c r="L250">
        <v>0.83</v>
      </c>
      <c r="M250">
        <v>1</v>
      </c>
      <c r="N250" s="1">
        <f t="shared" si="57"/>
        <v>12.766666666666667</v>
      </c>
      <c r="O250" s="1">
        <f>N250*(1+Control_Panel!$B$2)</f>
        <v>12.766666666666667</v>
      </c>
      <c r="P250" s="12">
        <f t="shared" si="58"/>
        <v>5.2219321148825062E-2</v>
      </c>
      <c r="Q250" t="str" cm="1">
        <f t="array" ref="Q250">_xlfn.IFS(P250&lt;0.2,"Stable",P250&lt;=0.5,"Moderate",P250&gt;0.5,"Highly veriable")</f>
        <v>Stable</v>
      </c>
      <c r="R250" s="1">
        <f t="shared" si="59"/>
        <v>93.808315196468598</v>
      </c>
      <c r="S250" s="1">
        <f t="shared" si="60"/>
        <v>128.57498186313526</v>
      </c>
      <c r="T250" s="1">
        <f t="shared" si="61"/>
        <v>310.42501813686476</v>
      </c>
      <c r="U250" t="str">
        <f t="shared" si="62"/>
        <v xml:space="preserve"> Safe</v>
      </c>
      <c r="V250">
        <f t="shared" si="63"/>
        <v>4596</v>
      </c>
      <c r="W250" s="9">
        <f t="shared" si="64"/>
        <v>744965.64</v>
      </c>
      <c r="Y250">
        <f t="shared" si="65"/>
        <v>1.6702144505300097E-3</v>
      </c>
      <c r="Z250" s="12">
        <f t="shared" si="75"/>
        <v>0.78449442411965298</v>
      </c>
      <c r="AA250" t="str">
        <f t="shared" si="66"/>
        <v>A</v>
      </c>
      <c r="AB250" t="str">
        <f t="shared" si="67"/>
        <v>X</v>
      </c>
      <c r="AC250" t="str">
        <f t="shared" si="68"/>
        <v>AX</v>
      </c>
      <c r="AD250" t="str">
        <f t="shared" si="69"/>
        <v>Strict Control</v>
      </c>
      <c r="AE250" t="str">
        <f t="shared" si="70"/>
        <v>Daily</v>
      </c>
      <c r="AF250" t="str">
        <f t="shared" si="71"/>
        <v>Strict Replenishment</v>
      </c>
      <c r="AG250" t="str">
        <f t="shared" si="72"/>
        <v>Low</v>
      </c>
      <c r="AH250">
        <f t="shared" si="73"/>
        <v>40</v>
      </c>
      <c r="AI250" t="str">
        <f t="shared" si="74"/>
        <v>Low</v>
      </c>
    </row>
    <row r="251" spans="1:35">
      <c r="A251" t="s">
        <v>340</v>
      </c>
      <c r="B251" t="s">
        <v>14</v>
      </c>
      <c r="C251" t="s">
        <v>22</v>
      </c>
      <c r="D251" t="s">
        <v>19</v>
      </c>
      <c r="E251">
        <v>939</v>
      </c>
      <c r="F251">
        <v>495</v>
      </c>
      <c r="G251">
        <v>40</v>
      </c>
      <c r="H251">
        <v>11</v>
      </c>
      <c r="I251">
        <v>125.02</v>
      </c>
      <c r="J251">
        <v>0.1</v>
      </c>
      <c r="K251">
        <v>855</v>
      </c>
      <c r="L251">
        <v>0.71</v>
      </c>
      <c r="M251">
        <v>8</v>
      </c>
      <c r="N251" s="1">
        <f t="shared" si="57"/>
        <v>16.5</v>
      </c>
      <c r="O251" s="1">
        <f>N251*(1+Control_Panel!$B$2)</f>
        <v>16.5</v>
      </c>
      <c r="P251" s="12">
        <f t="shared" si="58"/>
        <v>8.0808080808080815E-2</v>
      </c>
      <c r="Q251" t="str" cm="1">
        <f t="array" ref="Q251">_xlfn.IFS(P251&lt;0.2,"Stable",P251&lt;=0.5,"Moderate",P251&gt;0.5,"Highly veriable")</f>
        <v>Stable</v>
      </c>
      <c r="R251" s="1">
        <f t="shared" si="59"/>
        <v>132.66499161421598</v>
      </c>
      <c r="S251" s="1">
        <f t="shared" si="60"/>
        <v>160.16499161421598</v>
      </c>
      <c r="T251" s="1">
        <f t="shared" si="61"/>
        <v>778.83500838578402</v>
      </c>
      <c r="U251" t="str">
        <f t="shared" si="62"/>
        <v xml:space="preserve"> Safe</v>
      </c>
      <c r="V251">
        <f t="shared" si="63"/>
        <v>5940</v>
      </c>
      <c r="W251" s="9">
        <f t="shared" si="64"/>
        <v>742618.79999999993</v>
      </c>
      <c r="Y251">
        <f t="shared" si="65"/>
        <v>1.6649528305698168E-3</v>
      </c>
      <c r="Z251" s="12">
        <f t="shared" si="75"/>
        <v>0.78615937695022275</v>
      </c>
      <c r="AA251" t="str">
        <f t="shared" si="66"/>
        <v>A</v>
      </c>
      <c r="AB251" t="str">
        <f t="shared" si="67"/>
        <v>X</v>
      </c>
      <c r="AC251" t="str">
        <f t="shared" si="68"/>
        <v>AX</v>
      </c>
      <c r="AD251" t="str">
        <f t="shared" si="69"/>
        <v>Strict Control</v>
      </c>
      <c r="AE251" t="str">
        <f t="shared" si="70"/>
        <v>Daily</v>
      </c>
      <c r="AF251" t="str">
        <f t="shared" si="71"/>
        <v>Strict Replenishment</v>
      </c>
      <c r="AG251" t="str">
        <f t="shared" si="72"/>
        <v>Low</v>
      </c>
      <c r="AH251">
        <f t="shared" si="73"/>
        <v>60</v>
      </c>
      <c r="AI251" t="str">
        <f t="shared" si="74"/>
        <v>High</v>
      </c>
    </row>
    <row r="252" spans="1:35">
      <c r="A252" t="s">
        <v>338</v>
      </c>
      <c r="B252" t="s">
        <v>34</v>
      </c>
      <c r="C252" t="s">
        <v>15</v>
      </c>
      <c r="D252" t="s">
        <v>23</v>
      </c>
      <c r="E252">
        <v>594</v>
      </c>
      <c r="F252">
        <v>137</v>
      </c>
      <c r="G252">
        <v>93</v>
      </c>
      <c r="H252">
        <v>19</v>
      </c>
      <c r="I252">
        <v>449.94</v>
      </c>
      <c r="J252">
        <v>0.19</v>
      </c>
      <c r="K252">
        <v>311</v>
      </c>
      <c r="L252">
        <v>0.85</v>
      </c>
      <c r="M252">
        <v>8</v>
      </c>
      <c r="N252" s="1">
        <f t="shared" si="57"/>
        <v>4.5666666666666664</v>
      </c>
      <c r="O252" s="1">
        <f>N252*(1+Control_Panel!$B$2)</f>
        <v>4.5666666666666664</v>
      </c>
      <c r="P252" s="12">
        <f t="shared" si="58"/>
        <v>0.67883211678832112</v>
      </c>
      <c r="Q252" t="str" cm="1">
        <f t="array" ref="Q252">_xlfn.IFS(P252&lt;0.2,"Stable",P252&lt;=0.5,"Moderate",P252&gt;0.5,"Highly veriable")</f>
        <v>Highly veriable</v>
      </c>
      <c r="R252" s="1">
        <f t="shared" si="59"/>
        <v>405.37760174928269</v>
      </c>
      <c r="S252" s="1">
        <f t="shared" si="60"/>
        <v>428.94426841594935</v>
      </c>
      <c r="T252" s="1">
        <f t="shared" si="61"/>
        <v>165.05573158405065</v>
      </c>
      <c r="U252" t="str">
        <f t="shared" si="62"/>
        <v xml:space="preserve"> Risk</v>
      </c>
      <c r="V252">
        <f t="shared" si="63"/>
        <v>1644</v>
      </c>
      <c r="W252" s="9">
        <f t="shared" si="64"/>
        <v>739701.36</v>
      </c>
      <c r="Y252">
        <f t="shared" si="65"/>
        <v>1.6584119242717033E-3</v>
      </c>
      <c r="Z252" s="12">
        <f t="shared" si="75"/>
        <v>0.7878177888744945</v>
      </c>
      <c r="AA252" t="str">
        <f t="shared" si="66"/>
        <v>A</v>
      </c>
      <c r="AB252" t="str">
        <f t="shared" si="67"/>
        <v>Z</v>
      </c>
      <c r="AC252" t="str">
        <f t="shared" si="68"/>
        <v>AZ</v>
      </c>
      <c r="AD252" t="str">
        <f t="shared" si="69"/>
        <v>Risk-Control Strategy</v>
      </c>
      <c r="AE252" t="str">
        <f t="shared" si="70"/>
        <v>Daily + Manager Review</v>
      </c>
      <c r="AF252" t="str">
        <f t="shared" si="71"/>
        <v>Increase Safety Stock</v>
      </c>
      <c r="AG252" t="str">
        <f t="shared" si="72"/>
        <v>Critical</v>
      </c>
      <c r="AH252">
        <f t="shared" si="73"/>
        <v>80</v>
      </c>
      <c r="AI252" t="str">
        <f t="shared" si="74"/>
        <v>Critical</v>
      </c>
    </row>
    <row r="253" spans="1:35">
      <c r="A253" t="s">
        <v>302</v>
      </c>
      <c r="B253" t="s">
        <v>21</v>
      </c>
      <c r="C253" t="s">
        <v>15</v>
      </c>
      <c r="D253" t="s">
        <v>23</v>
      </c>
      <c r="E253">
        <v>0</v>
      </c>
      <c r="F253">
        <v>204</v>
      </c>
      <c r="G253">
        <v>91</v>
      </c>
      <c r="H253">
        <v>27</v>
      </c>
      <c r="I253">
        <v>298.83</v>
      </c>
      <c r="J253">
        <v>0.24</v>
      </c>
      <c r="K253">
        <v>412</v>
      </c>
      <c r="L253">
        <v>0.71</v>
      </c>
      <c r="M253">
        <v>5</v>
      </c>
      <c r="N253" s="1">
        <f t="shared" si="57"/>
        <v>6.8</v>
      </c>
      <c r="O253" s="1">
        <f>N253*(1+Control_Panel!$B$2)</f>
        <v>6.8</v>
      </c>
      <c r="P253" s="12">
        <f t="shared" si="58"/>
        <v>0.44607843137254904</v>
      </c>
      <c r="Q253" t="str" cm="1">
        <f t="array" ref="Q253">_xlfn.IFS(P253&lt;0.2,"Stable",P253&lt;=0.5,"Moderate",P253&gt;0.5,"Highly veriable")</f>
        <v>Moderate</v>
      </c>
      <c r="R253" s="1">
        <f t="shared" si="59"/>
        <v>472.84987046630351</v>
      </c>
      <c r="S253" s="1">
        <f t="shared" si="60"/>
        <v>506.64987046630353</v>
      </c>
      <c r="T253" s="1">
        <f t="shared" si="61"/>
        <v>-506.64987046630353</v>
      </c>
      <c r="U253" t="str">
        <f t="shared" si="62"/>
        <v xml:space="preserve"> Need to Order</v>
      </c>
      <c r="V253">
        <f t="shared" si="63"/>
        <v>2448</v>
      </c>
      <c r="W253" s="9">
        <f t="shared" si="64"/>
        <v>731535.84</v>
      </c>
      <c r="Y253">
        <f t="shared" si="65"/>
        <v>1.6401048121475899E-3</v>
      </c>
      <c r="Z253" s="12">
        <f t="shared" si="75"/>
        <v>0.7894578936866421</v>
      </c>
      <c r="AA253" t="str">
        <f t="shared" si="66"/>
        <v>A</v>
      </c>
      <c r="AB253" t="str">
        <f t="shared" si="67"/>
        <v>Y</v>
      </c>
      <c r="AC253" t="str">
        <f t="shared" si="68"/>
        <v>AY</v>
      </c>
      <c r="AD253" t="str">
        <f t="shared" si="69"/>
        <v>Frequent Monitoring</v>
      </c>
      <c r="AE253" t="str">
        <f t="shared" si="70"/>
        <v>Every 2 Days</v>
      </c>
      <c r="AF253" t="str">
        <f t="shared" si="71"/>
        <v>Frequent Monitoring</v>
      </c>
      <c r="AG253" t="str">
        <f t="shared" si="72"/>
        <v>High</v>
      </c>
      <c r="AH253">
        <f t="shared" si="73"/>
        <v>60</v>
      </c>
      <c r="AI253" t="str">
        <f t="shared" si="74"/>
        <v>High</v>
      </c>
    </row>
    <row r="254" spans="1:35">
      <c r="A254" t="s">
        <v>222</v>
      </c>
      <c r="B254" t="s">
        <v>34</v>
      </c>
      <c r="C254" t="s">
        <v>15</v>
      </c>
      <c r="D254" t="s">
        <v>41</v>
      </c>
      <c r="E254">
        <v>613</v>
      </c>
      <c r="F254">
        <v>222</v>
      </c>
      <c r="G254">
        <v>97</v>
      </c>
      <c r="H254">
        <v>12</v>
      </c>
      <c r="I254">
        <v>274.38</v>
      </c>
      <c r="J254">
        <v>0.17</v>
      </c>
      <c r="K254">
        <v>258</v>
      </c>
      <c r="L254">
        <v>0.85</v>
      </c>
      <c r="M254">
        <v>3</v>
      </c>
      <c r="N254" s="1">
        <f t="shared" si="57"/>
        <v>7.4</v>
      </c>
      <c r="O254" s="1">
        <f>N254*(1+Control_Panel!$B$2)</f>
        <v>7.4</v>
      </c>
      <c r="P254" s="12">
        <f t="shared" si="58"/>
        <v>0.43693693693693691</v>
      </c>
      <c r="Q254" t="str" cm="1">
        <f t="array" ref="Q254">_xlfn.IFS(P254&lt;0.2,"Stable",P254&lt;=0.5,"Moderate",P254&gt;0.5,"Highly veriable")</f>
        <v>Moderate</v>
      </c>
      <c r="R254" s="1">
        <f t="shared" si="59"/>
        <v>336.01785666836219</v>
      </c>
      <c r="S254" s="1">
        <f t="shared" si="60"/>
        <v>355.41785666836216</v>
      </c>
      <c r="T254" s="1">
        <f t="shared" si="61"/>
        <v>257.58214333163784</v>
      </c>
      <c r="U254" t="str">
        <f t="shared" si="62"/>
        <v xml:space="preserve"> Risk</v>
      </c>
      <c r="V254">
        <f t="shared" si="63"/>
        <v>2664</v>
      </c>
      <c r="W254" s="9">
        <f t="shared" si="64"/>
        <v>730948.32</v>
      </c>
      <c r="Y254">
        <f t="shared" si="65"/>
        <v>1.6387875911359263E-3</v>
      </c>
      <c r="Z254" s="12">
        <f t="shared" si="75"/>
        <v>0.79109668127777799</v>
      </c>
      <c r="AA254" t="str">
        <f t="shared" si="66"/>
        <v>A</v>
      </c>
      <c r="AB254" t="str">
        <f t="shared" si="67"/>
        <v>Y</v>
      </c>
      <c r="AC254" t="str">
        <f t="shared" si="68"/>
        <v>AY</v>
      </c>
      <c r="AD254" t="str">
        <f t="shared" si="69"/>
        <v>Frequent Monitoring</v>
      </c>
      <c r="AE254" t="str">
        <f t="shared" si="70"/>
        <v>Every 2 Days</v>
      </c>
      <c r="AF254" t="str">
        <f t="shared" si="71"/>
        <v>Frequent Monitoring</v>
      </c>
      <c r="AG254" t="str">
        <f t="shared" si="72"/>
        <v>High</v>
      </c>
      <c r="AH254">
        <f t="shared" si="73"/>
        <v>50</v>
      </c>
      <c r="AI254" t="str">
        <f t="shared" si="74"/>
        <v>Medium</v>
      </c>
    </row>
    <row r="255" spans="1:35">
      <c r="A255" t="s">
        <v>495</v>
      </c>
      <c r="B255" t="s">
        <v>21</v>
      </c>
      <c r="C255" t="s">
        <v>22</v>
      </c>
      <c r="D255" t="s">
        <v>16</v>
      </c>
      <c r="E255">
        <v>575</v>
      </c>
      <c r="F255">
        <v>123</v>
      </c>
      <c r="G255">
        <v>86</v>
      </c>
      <c r="H255">
        <v>12</v>
      </c>
      <c r="I255">
        <v>483.87</v>
      </c>
      <c r="J255">
        <v>0.24</v>
      </c>
      <c r="K255">
        <v>972</v>
      </c>
      <c r="L255">
        <v>0.76</v>
      </c>
      <c r="M255">
        <v>5</v>
      </c>
      <c r="N255" s="1">
        <f t="shared" si="57"/>
        <v>4.0999999999999996</v>
      </c>
      <c r="O255" s="1">
        <f>N255*(1+Control_Panel!$B$2)</f>
        <v>4.0999999999999996</v>
      </c>
      <c r="P255" s="12">
        <f t="shared" si="58"/>
        <v>0.69918699186991873</v>
      </c>
      <c r="Q255" t="str" cm="1">
        <f t="array" ref="Q255">_xlfn.IFS(P255&lt;0.2,"Stable",P255&lt;=0.5,"Moderate",P255&gt;0.5,"Highly veriable")</f>
        <v>Highly veriable</v>
      </c>
      <c r="R255" s="1">
        <f t="shared" si="59"/>
        <v>297.91273890184686</v>
      </c>
      <c r="S255" s="1">
        <f t="shared" si="60"/>
        <v>314.01273890184689</v>
      </c>
      <c r="T255" s="1">
        <f t="shared" si="61"/>
        <v>260.98726109815311</v>
      </c>
      <c r="U255" t="str">
        <f t="shared" si="62"/>
        <v xml:space="preserve"> Risk</v>
      </c>
      <c r="V255">
        <f t="shared" si="63"/>
        <v>1476</v>
      </c>
      <c r="W255" s="9">
        <f t="shared" si="64"/>
        <v>714192.12</v>
      </c>
      <c r="Y255">
        <f t="shared" si="65"/>
        <v>1.6012201573198232E-3</v>
      </c>
      <c r="Z255" s="12">
        <f t="shared" si="75"/>
        <v>0.79269790143509777</v>
      </c>
      <c r="AA255" t="str">
        <f t="shared" si="66"/>
        <v>A</v>
      </c>
      <c r="AB255" t="str">
        <f t="shared" si="67"/>
        <v>Z</v>
      </c>
      <c r="AC255" t="str">
        <f t="shared" si="68"/>
        <v>AZ</v>
      </c>
      <c r="AD255" t="str">
        <f t="shared" si="69"/>
        <v>Risk-Control Strategy</v>
      </c>
      <c r="AE255" t="str">
        <f t="shared" si="70"/>
        <v>Daily + Manager Review</v>
      </c>
      <c r="AF255" t="str">
        <f t="shared" si="71"/>
        <v>Increase Safety Stock</v>
      </c>
      <c r="AG255" t="str">
        <f t="shared" si="72"/>
        <v>Critical</v>
      </c>
      <c r="AH255">
        <f t="shared" si="73"/>
        <v>70</v>
      </c>
      <c r="AI255" t="str">
        <f t="shared" si="74"/>
        <v>Critical</v>
      </c>
    </row>
    <row r="256" spans="1:35">
      <c r="A256" t="s">
        <v>410</v>
      </c>
      <c r="B256" t="s">
        <v>40</v>
      </c>
      <c r="C256" t="s">
        <v>15</v>
      </c>
      <c r="D256" t="s">
        <v>23</v>
      </c>
      <c r="E256">
        <v>596</v>
      </c>
      <c r="F256">
        <v>269</v>
      </c>
      <c r="G256">
        <v>25</v>
      </c>
      <c r="H256">
        <v>24</v>
      </c>
      <c r="I256">
        <v>221.23</v>
      </c>
      <c r="J256">
        <v>0.09</v>
      </c>
      <c r="K256">
        <v>853</v>
      </c>
      <c r="L256">
        <v>0.8</v>
      </c>
      <c r="M256">
        <v>2</v>
      </c>
      <c r="N256" s="1">
        <f t="shared" si="57"/>
        <v>8.9666666666666668</v>
      </c>
      <c r="O256" s="1">
        <f>N256*(1+Control_Panel!$B$2)</f>
        <v>8.9666666666666668</v>
      </c>
      <c r="P256" s="12">
        <f t="shared" si="58"/>
        <v>9.2936802973977689E-2</v>
      </c>
      <c r="Q256" t="str" cm="1">
        <f t="array" ref="Q256">_xlfn.IFS(P256&lt;0.2,"Stable",P256&lt;=0.5,"Moderate",P256&gt;0.5,"Highly veriable")</f>
        <v>Stable</v>
      </c>
      <c r="R256" s="1">
        <f t="shared" si="59"/>
        <v>122.4744871391589</v>
      </c>
      <c r="S256" s="1">
        <f t="shared" si="60"/>
        <v>155.44115380582556</v>
      </c>
      <c r="T256" s="1">
        <f t="shared" si="61"/>
        <v>440.55884619417441</v>
      </c>
      <c r="U256" t="str">
        <f t="shared" si="62"/>
        <v xml:space="preserve"> Safe</v>
      </c>
      <c r="V256">
        <f t="shared" si="63"/>
        <v>3228</v>
      </c>
      <c r="W256" s="9">
        <f t="shared" si="64"/>
        <v>714130.44</v>
      </c>
      <c r="Y256">
        <f t="shared" si="65"/>
        <v>1.6010818706368177E-3</v>
      </c>
      <c r="Z256" s="12">
        <f t="shared" si="75"/>
        <v>0.79429898330573456</v>
      </c>
      <c r="AA256" t="str">
        <f t="shared" si="66"/>
        <v>A</v>
      </c>
      <c r="AB256" t="str">
        <f t="shared" si="67"/>
        <v>X</v>
      </c>
      <c r="AC256" t="str">
        <f t="shared" si="68"/>
        <v>AX</v>
      </c>
      <c r="AD256" t="str">
        <f t="shared" si="69"/>
        <v>Strict Control</v>
      </c>
      <c r="AE256" t="str">
        <f t="shared" si="70"/>
        <v>Daily</v>
      </c>
      <c r="AF256" t="str">
        <f t="shared" si="71"/>
        <v>Strict Replenishment</v>
      </c>
      <c r="AG256" t="str">
        <f t="shared" si="72"/>
        <v>Low</v>
      </c>
      <c r="AH256">
        <f t="shared" si="73"/>
        <v>40</v>
      </c>
      <c r="AI256" t="str">
        <f t="shared" si="74"/>
        <v>Low</v>
      </c>
    </row>
    <row r="257" spans="1:35">
      <c r="A257" t="s">
        <v>276</v>
      </c>
      <c r="B257" t="s">
        <v>21</v>
      </c>
      <c r="C257" t="s">
        <v>22</v>
      </c>
      <c r="D257" t="s">
        <v>16</v>
      </c>
      <c r="E257">
        <v>150</v>
      </c>
      <c r="F257">
        <v>214</v>
      </c>
      <c r="G257">
        <v>69</v>
      </c>
      <c r="H257">
        <v>26</v>
      </c>
      <c r="I257">
        <v>276.66000000000003</v>
      </c>
      <c r="J257">
        <v>0.12</v>
      </c>
      <c r="K257">
        <v>647</v>
      </c>
      <c r="L257">
        <v>0.94</v>
      </c>
      <c r="M257">
        <v>4</v>
      </c>
      <c r="N257" s="1">
        <f t="shared" si="57"/>
        <v>7.1333333333333337</v>
      </c>
      <c r="O257" s="1">
        <f>N257*(1+Control_Panel!$B$2)</f>
        <v>7.1333333333333337</v>
      </c>
      <c r="P257" s="12">
        <f t="shared" si="58"/>
        <v>0.32242990654205606</v>
      </c>
      <c r="Q257" t="str" cm="1">
        <f t="array" ref="Q257">_xlfn.IFS(P257&lt;0.2,"Stable",P257&lt;=0.5,"Moderate",P257&gt;0.5,"Highly veriable")</f>
        <v>Moderate</v>
      </c>
      <c r="R257" s="1">
        <f t="shared" si="59"/>
        <v>351.83234643790212</v>
      </c>
      <c r="S257" s="1">
        <f t="shared" si="60"/>
        <v>384.96567977123544</v>
      </c>
      <c r="T257" s="1">
        <f t="shared" si="61"/>
        <v>-234.96567977123544</v>
      </c>
      <c r="U257" t="str">
        <f t="shared" si="62"/>
        <v xml:space="preserve"> Need to Order</v>
      </c>
      <c r="V257">
        <f t="shared" si="63"/>
        <v>2568</v>
      </c>
      <c r="W257" s="9">
        <f t="shared" si="64"/>
        <v>710462.88000000012</v>
      </c>
      <c r="Y257">
        <f t="shared" si="65"/>
        <v>1.5928591938027753E-3</v>
      </c>
      <c r="Z257" s="12">
        <f t="shared" si="75"/>
        <v>0.79589184249953737</v>
      </c>
      <c r="AA257" t="str">
        <f t="shared" si="66"/>
        <v>A</v>
      </c>
      <c r="AB257" t="str">
        <f t="shared" si="67"/>
        <v>Y</v>
      </c>
      <c r="AC257" t="str">
        <f t="shared" si="68"/>
        <v>AY</v>
      </c>
      <c r="AD257" t="str">
        <f t="shared" si="69"/>
        <v>Frequent Monitoring</v>
      </c>
      <c r="AE257" t="str">
        <f t="shared" si="70"/>
        <v>Every 2 Days</v>
      </c>
      <c r="AF257" t="str">
        <f t="shared" si="71"/>
        <v>Frequent Monitoring</v>
      </c>
      <c r="AG257" t="str">
        <f t="shared" si="72"/>
        <v>High</v>
      </c>
      <c r="AH257">
        <f t="shared" si="73"/>
        <v>50</v>
      </c>
      <c r="AI257" t="str">
        <f t="shared" si="74"/>
        <v>Medium</v>
      </c>
    </row>
    <row r="258" spans="1:35">
      <c r="A258" t="s">
        <v>334</v>
      </c>
      <c r="B258" t="s">
        <v>14</v>
      </c>
      <c r="C258" t="s">
        <v>22</v>
      </c>
      <c r="D258" t="s">
        <v>25</v>
      </c>
      <c r="E258">
        <v>685</v>
      </c>
      <c r="F258">
        <v>368</v>
      </c>
      <c r="G258">
        <v>40</v>
      </c>
      <c r="H258">
        <v>8</v>
      </c>
      <c r="I258">
        <v>158.97999999999999</v>
      </c>
      <c r="J258">
        <v>0.17</v>
      </c>
      <c r="K258">
        <v>434</v>
      </c>
      <c r="L258">
        <v>0.87</v>
      </c>
      <c r="M258">
        <v>10</v>
      </c>
      <c r="N258" s="1">
        <f t="shared" ref="N258:N321" si="76">F258/30</f>
        <v>12.266666666666667</v>
      </c>
      <c r="O258" s="1">
        <f>N258*(1+Control_Panel!$B$2)</f>
        <v>12.266666666666667</v>
      </c>
      <c r="P258" s="12">
        <f t="shared" ref="P258:P321" si="77">G258/F258</f>
        <v>0.10869565217391304</v>
      </c>
      <c r="Q258" t="str" cm="1">
        <f t="array" ref="Q258">_xlfn.IFS(P258&lt;0.2,"Stable",P258&lt;=0.5,"Moderate",P258&gt;0.5,"Highly veriable")</f>
        <v>Stable</v>
      </c>
      <c r="R258" s="1">
        <f t="shared" ref="R258:R321" si="78">G258*SQRT(H258)</f>
        <v>113.13708498984761</v>
      </c>
      <c r="S258" s="1">
        <f t="shared" ref="S258:S321" si="79">O258+H258+R258</f>
        <v>133.40375165651426</v>
      </c>
      <c r="T258" s="1">
        <f t="shared" ref="T258:T321" si="80">E258-S258</f>
        <v>551.59624834348574</v>
      </c>
      <c r="U258" t="str">
        <f t="shared" ref="U258:U321" si="81">IF(T258&lt;0," Need to Order",
   IF(T258&lt;=R258," Risk",
      " Safe"))</f>
        <v xml:space="preserve"> Safe</v>
      </c>
      <c r="V258">
        <f t="shared" ref="V258:V321" si="82">F258*12</f>
        <v>4416</v>
      </c>
      <c r="W258" s="9">
        <f t="shared" ref="W258:W321" si="83">V258*I258</f>
        <v>702055.67999999993</v>
      </c>
      <c r="Y258">
        <f t="shared" si="65"/>
        <v>1.5740102346366905E-3</v>
      </c>
      <c r="Z258" s="12">
        <f t="shared" si="75"/>
        <v>0.79746585273417403</v>
      </c>
      <c r="AA258" t="str">
        <f t="shared" si="66"/>
        <v>A</v>
      </c>
      <c r="AB258" t="str">
        <f t="shared" si="67"/>
        <v>X</v>
      </c>
      <c r="AC258" t="str">
        <f t="shared" si="68"/>
        <v>AX</v>
      </c>
      <c r="AD258" t="str">
        <f t="shared" si="69"/>
        <v>Strict Control</v>
      </c>
      <c r="AE258" t="str">
        <f t="shared" si="70"/>
        <v>Daily</v>
      </c>
      <c r="AF258" t="str">
        <f t="shared" si="71"/>
        <v>Strict Replenishment</v>
      </c>
      <c r="AG258" t="str">
        <f t="shared" si="72"/>
        <v>Low</v>
      </c>
      <c r="AH258">
        <f t="shared" si="73"/>
        <v>60</v>
      </c>
      <c r="AI258" t="str">
        <f t="shared" si="74"/>
        <v>High</v>
      </c>
    </row>
    <row r="259" spans="1:35">
      <c r="A259" t="s">
        <v>288</v>
      </c>
      <c r="B259" t="s">
        <v>14</v>
      </c>
      <c r="C259" t="s">
        <v>22</v>
      </c>
      <c r="D259" t="s">
        <v>23</v>
      </c>
      <c r="E259">
        <v>6</v>
      </c>
      <c r="F259">
        <v>159</v>
      </c>
      <c r="G259">
        <v>47</v>
      </c>
      <c r="H259">
        <v>1</v>
      </c>
      <c r="I259">
        <v>366.61</v>
      </c>
      <c r="J259">
        <v>0.09</v>
      </c>
      <c r="K259">
        <v>160</v>
      </c>
      <c r="L259">
        <v>0.73</v>
      </c>
      <c r="M259">
        <v>3</v>
      </c>
      <c r="N259" s="1">
        <f t="shared" si="76"/>
        <v>5.3</v>
      </c>
      <c r="O259" s="1">
        <f>N259*(1+Control_Panel!$B$2)</f>
        <v>5.3</v>
      </c>
      <c r="P259" s="12">
        <f t="shared" si="77"/>
        <v>0.29559748427672955</v>
      </c>
      <c r="Q259" t="str" cm="1">
        <f t="array" ref="Q259">_xlfn.IFS(P259&lt;0.2,"Stable",P259&lt;=0.5,"Moderate",P259&gt;0.5,"Highly veriable")</f>
        <v>Moderate</v>
      </c>
      <c r="R259" s="1">
        <f t="shared" si="78"/>
        <v>47</v>
      </c>
      <c r="S259" s="1">
        <f t="shared" si="79"/>
        <v>53.3</v>
      </c>
      <c r="T259" s="1">
        <f t="shared" si="80"/>
        <v>-47.3</v>
      </c>
      <c r="U259" t="str">
        <f t="shared" si="81"/>
        <v xml:space="preserve"> Need to Order</v>
      </c>
      <c r="V259">
        <f t="shared" si="82"/>
        <v>1908</v>
      </c>
      <c r="W259" s="9">
        <f t="shared" si="83"/>
        <v>699491.88</v>
      </c>
      <c r="Y259">
        <f t="shared" ref="Y259:Y322" si="84">W259/$X$3</f>
        <v>1.5682621899238247E-3</v>
      </c>
      <c r="Z259" s="12">
        <f t="shared" si="75"/>
        <v>0.79903411492409782</v>
      </c>
      <c r="AA259" t="str">
        <f t="shared" ref="AA259:AA322" si="85">IF(Z259&lt;=80%,"A",IF(Z259&lt;=95%,"B","C"))</f>
        <v>A</v>
      </c>
      <c r="AB259" t="str">
        <f t="shared" ref="AB259:AB322" si="86">IF(P259&lt;=20%,"X",IF(P259&lt;=50%,"Y","Z"))</f>
        <v>Y</v>
      </c>
      <c r="AC259" t="str">
        <f t="shared" ref="AC259:AC322" si="87">AA259&amp;AB259</f>
        <v>AY</v>
      </c>
      <c r="AD259" t="str">
        <f t="shared" ref="AD259:AD322" si="88">IF(AC259="AX","Strict Control",
IF(AC259="AY","Frequent Monitoring",
IF(AC259="AZ","Risk-Control Strategy",
IF(AC259="BX","Standard Control",
IF(AC259="BY","Periodic Review",
IF(AC259="BZ","Risk Monitoring",
IF(AC259="CX","Simplified Bulk Control",
IF(AC259="CY","Low-Priority Monitoring",
IF(AC259="CZ","Minimal Control","Check")))))))))</f>
        <v>Frequent Monitoring</v>
      </c>
      <c r="AE259" t="str">
        <f t="shared" ref="AE259:AE322" si="89">IF(AC259="AX","Daily",
IF(AC259="AY","Every 2 Days",
IF(AC259="AZ","Daily + Manager Review",
IF(AC259="BX","Weekly",
IF(AC259="BY","Bi-Weekly",
IF(AC259="BZ","Weekly Risk Review",
IF(AC259="CX","Monthly",
IF(AC259="CY","Monthly Review",
IF(AC259="CZ","Quarterly","Check")))))))))</f>
        <v>Every 2 Days</v>
      </c>
      <c r="AF259" t="str">
        <f t="shared" ref="AF259:AF322" si="90">IF(AC259="AX","Strict Replenishment",
IF(AC259="AY","Frequent Monitoring",
IF(AC259="AZ","Increase Safety Stock",
IF(AC259="BX","Standard Replenishment",
IF(AC259="BY","Periodic Review",
IF(AC259="BZ","Monitor Demand Variability",
IF(AC259="CX","Bulk Ordering",
IF(AC259="CY","Low Priority Monitoring",
IF(AC259="CZ","Reduce Inventory Exposure",
"Check")))))))))</f>
        <v>Frequent Monitoring</v>
      </c>
      <c r="AG259" t="str">
        <f t="shared" ref="AG259:AG322" si="91">IF(AC259="AZ","Critical",
IF(AC259="AY","High",
IF(AC259="BZ","Medium",
IF(U259="Need to Order","Medium",
"Low"))))</f>
        <v>High</v>
      </c>
      <c r="AH259">
        <f t="shared" ref="AH259:AH322" si="92">IF(AC259="AZ",40,
IF(AC259="AY",30,
IF(AC259="AX",20,10)))
+
IF(U259="Need to Order",30,
IF(U259="Risk",15,0))
+
IF(L259&lt;70,20,
IF(L259&lt;85,10,0))
+
IF(M259&gt;7,20,
IF(M259&gt;4,10,0))</f>
        <v>50</v>
      </c>
      <c r="AI259" t="str">
        <f t="shared" ref="AI259:AI322" si="93">IF(AH259&gt;=70,"Critical",
IF(AH259&gt;=60,"High",
IF(AH259&gt;=50,"Medium",
"Low")))</f>
        <v>Medium</v>
      </c>
    </row>
    <row r="260" spans="1:35">
      <c r="A260" t="s">
        <v>437</v>
      </c>
      <c r="B260" t="s">
        <v>21</v>
      </c>
      <c r="C260" t="s">
        <v>22</v>
      </c>
      <c r="D260" t="s">
        <v>16</v>
      </c>
      <c r="E260">
        <v>819</v>
      </c>
      <c r="F260">
        <v>231</v>
      </c>
      <c r="G260">
        <v>46</v>
      </c>
      <c r="H260">
        <v>26</v>
      </c>
      <c r="I260">
        <v>252.19</v>
      </c>
      <c r="J260">
        <v>0.23</v>
      </c>
      <c r="K260">
        <v>242</v>
      </c>
      <c r="L260">
        <v>0.91</v>
      </c>
      <c r="M260">
        <v>1</v>
      </c>
      <c r="N260" s="1">
        <f t="shared" si="76"/>
        <v>7.7</v>
      </c>
      <c r="O260" s="1">
        <f>N260*(1+Control_Panel!$B$2)</f>
        <v>7.7</v>
      </c>
      <c r="P260" s="12">
        <f t="shared" si="77"/>
        <v>0.19913419913419914</v>
      </c>
      <c r="Q260" t="str" cm="1">
        <f t="array" ref="Q260">_xlfn.IFS(P260&lt;0.2,"Stable",P260&lt;=0.5,"Moderate",P260&gt;0.5,"Highly veriable")</f>
        <v>Stable</v>
      </c>
      <c r="R260" s="1">
        <f t="shared" si="78"/>
        <v>234.5548976252681</v>
      </c>
      <c r="S260" s="1">
        <f t="shared" si="79"/>
        <v>268.25489762526809</v>
      </c>
      <c r="T260" s="1">
        <f t="shared" si="80"/>
        <v>550.74510237473191</v>
      </c>
      <c r="U260" t="str">
        <f t="shared" si="81"/>
        <v xml:space="preserve"> Safe</v>
      </c>
      <c r="V260">
        <f t="shared" si="82"/>
        <v>2772</v>
      </c>
      <c r="W260" s="9">
        <f t="shared" si="83"/>
        <v>699070.68</v>
      </c>
      <c r="Y260">
        <f t="shared" si="84"/>
        <v>1.5673178586838453E-3</v>
      </c>
      <c r="Z260" s="12">
        <f t="shared" ref="Z260:Z323" si="94">Z259+Y260</f>
        <v>0.80060143278278162</v>
      </c>
      <c r="AA260" t="str">
        <f t="shared" si="85"/>
        <v>B</v>
      </c>
      <c r="AB260" t="str">
        <f t="shared" si="86"/>
        <v>X</v>
      </c>
      <c r="AC260" t="str">
        <f t="shared" si="87"/>
        <v>BX</v>
      </c>
      <c r="AD260" t="str">
        <f t="shared" si="88"/>
        <v>Standard Control</v>
      </c>
      <c r="AE260" t="str">
        <f t="shared" si="89"/>
        <v>Weekly</v>
      </c>
      <c r="AF260" t="str">
        <f t="shared" si="90"/>
        <v>Standard Replenishment</v>
      </c>
      <c r="AG260" t="str">
        <f t="shared" si="91"/>
        <v>Low</v>
      </c>
      <c r="AH260">
        <f t="shared" si="92"/>
        <v>30</v>
      </c>
      <c r="AI260" t="str">
        <f t="shared" si="93"/>
        <v>Low</v>
      </c>
    </row>
    <row r="261" spans="1:35">
      <c r="A261" t="s">
        <v>435</v>
      </c>
      <c r="B261" t="s">
        <v>40</v>
      </c>
      <c r="C261" t="s">
        <v>15</v>
      </c>
      <c r="D261" t="s">
        <v>19</v>
      </c>
      <c r="E261">
        <v>343</v>
      </c>
      <c r="F261">
        <v>464</v>
      </c>
      <c r="G261">
        <v>99</v>
      </c>
      <c r="H261">
        <v>6</v>
      </c>
      <c r="I261">
        <v>124.64</v>
      </c>
      <c r="J261">
        <v>0.22</v>
      </c>
      <c r="K261">
        <v>173</v>
      </c>
      <c r="L261">
        <v>0.85</v>
      </c>
      <c r="M261">
        <v>6</v>
      </c>
      <c r="N261" s="1">
        <f t="shared" si="76"/>
        <v>15.466666666666667</v>
      </c>
      <c r="O261" s="1">
        <f>N261*(1+Control_Panel!$B$2)</f>
        <v>15.466666666666667</v>
      </c>
      <c r="P261" s="12">
        <f t="shared" si="77"/>
        <v>0.21336206896551724</v>
      </c>
      <c r="Q261" t="str" cm="1">
        <f t="array" ref="Q261">_xlfn.IFS(P261&lt;0.2,"Stable",P261&lt;=0.5,"Moderate",P261&gt;0.5,"Highly veriable")</f>
        <v>Moderate</v>
      </c>
      <c r="R261" s="1">
        <f t="shared" si="78"/>
        <v>242.49948453553461</v>
      </c>
      <c r="S261" s="1">
        <f t="shared" si="79"/>
        <v>263.96615120220127</v>
      </c>
      <c r="T261" s="1">
        <f t="shared" si="80"/>
        <v>79.033848797798726</v>
      </c>
      <c r="U261" t="str">
        <f t="shared" si="81"/>
        <v xml:space="preserve"> Risk</v>
      </c>
      <c r="V261">
        <f t="shared" si="82"/>
        <v>5568</v>
      </c>
      <c r="W261" s="9">
        <f t="shared" si="83"/>
        <v>693995.52000000002</v>
      </c>
      <c r="Y261">
        <f t="shared" si="84"/>
        <v>1.5559393398426919E-3</v>
      </c>
      <c r="Z261" s="12">
        <f t="shared" si="94"/>
        <v>0.80215737212262428</v>
      </c>
      <c r="AA261" t="str">
        <f t="shared" si="85"/>
        <v>B</v>
      </c>
      <c r="AB261" t="str">
        <f t="shared" si="86"/>
        <v>Y</v>
      </c>
      <c r="AC261" t="str">
        <f t="shared" si="87"/>
        <v>BY</v>
      </c>
      <c r="AD261" t="str">
        <f t="shared" si="88"/>
        <v>Periodic Review</v>
      </c>
      <c r="AE261" t="str">
        <f t="shared" si="89"/>
        <v>Bi-Weekly</v>
      </c>
      <c r="AF261" t="str">
        <f t="shared" si="90"/>
        <v>Periodic Review</v>
      </c>
      <c r="AG261" t="str">
        <f t="shared" si="91"/>
        <v>Low</v>
      </c>
      <c r="AH261">
        <f t="shared" si="92"/>
        <v>40</v>
      </c>
      <c r="AI261" t="str">
        <f t="shared" si="93"/>
        <v>Low</v>
      </c>
    </row>
    <row r="262" spans="1:35">
      <c r="A262" t="s">
        <v>444</v>
      </c>
      <c r="B262" t="s">
        <v>38</v>
      </c>
      <c r="C262" t="s">
        <v>15</v>
      </c>
      <c r="D262" t="s">
        <v>41</v>
      </c>
      <c r="E262">
        <v>804</v>
      </c>
      <c r="F262">
        <v>200</v>
      </c>
      <c r="G262">
        <v>18</v>
      </c>
      <c r="H262">
        <v>19</v>
      </c>
      <c r="I262">
        <v>286.88</v>
      </c>
      <c r="J262">
        <v>0.2</v>
      </c>
      <c r="K262">
        <v>918</v>
      </c>
      <c r="L262">
        <v>0.91</v>
      </c>
      <c r="M262">
        <v>4</v>
      </c>
      <c r="N262" s="1">
        <f t="shared" si="76"/>
        <v>6.666666666666667</v>
      </c>
      <c r="O262" s="1">
        <f>N262*(1+Control_Panel!$B$2)</f>
        <v>6.666666666666667</v>
      </c>
      <c r="P262" s="12">
        <f t="shared" si="77"/>
        <v>0.09</v>
      </c>
      <c r="Q262" t="str" cm="1">
        <f t="array" ref="Q262">_xlfn.IFS(P262&lt;0.2,"Stable",P262&lt;=0.5,"Moderate",P262&gt;0.5,"Highly veriable")</f>
        <v>Stable</v>
      </c>
      <c r="R262" s="1">
        <f t="shared" si="78"/>
        <v>78.46018098373213</v>
      </c>
      <c r="S262" s="1">
        <f t="shared" si="79"/>
        <v>104.1268476503988</v>
      </c>
      <c r="T262" s="1">
        <f t="shared" si="80"/>
        <v>699.87315234960124</v>
      </c>
      <c r="U262" t="str">
        <f t="shared" si="81"/>
        <v xml:space="preserve"> Safe</v>
      </c>
      <c r="V262">
        <f t="shared" si="82"/>
        <v>2400</v>
      </c>
      <c r="W262" s="9">
        <f t="shared" si="83"/>
        <v>688512</v>
      </c>
      <c r="Y262">
        <f t="shared" si="84"/>
        <v>1.5436452770671652E-3</v>
      </c>
      <c r="Z262" s="12">
        <f t="shared" si="94"/>
        <v>0.80370101739969146</v>
      </c>
      <c r="AA262" t="str">
        <f t="shared" si="85"/>
        <v>B</v>
      </c>
      <c r="AB262" t="str">
        <f t="shared" si="86"/>
        <v>X</v>
      </c>
      <c r="AC262" t="str">
        <f t="shared" si="87"/>
        <v>BX</v>
      </c>
      <c r="AD262" t="str">
        <f t="shared" si="88"/>
        <v>Standard Control</v>
      </c>
      <c r="AE262" t="str">
        <f t="shared" si="89"/>
        <v>Weekly</v>
      </c>
      <c r="AF262" t="str">
        <f t="shared" si="90"/>
        <v>Standard Replenishment</v>
      </c>
      <c r="AG262" t="str">
        <f t="shared" si="91"/>
        <v>Low</v>
      </c>
      <c r="AH262">
        <f t="shared" si="92"/>
        <v>30</v>
      </c>
      <c r="AI262" t="str">
        <f t="shared" si="93"/>
        <v>Low</v>
      </c>
    </row>
    <row r="263" spans="1:35">
      <c r="A263" t="s">
        <v>436</v>
      </c>
      <c r="B263" t="s">
        <v>29</v>
      </c>
      <c r="C263" t="s">
        <v>22</v>
      </c>
      <c r="D263" t="s">
        <v>23</v>
      </c>
      <c r="E263">
        <v>402</v>
      </c>
      <c r="F263">
        <v>211</v>
      </c>
      <c r="G263">
        <v>81</v>
      </c>
      <c r="H263">
        <v>24</v>
      </c>
      <c r="I263">
        <v>271.47000000000003</v>
      </c>
      <c r="J263">
        <v>0.18</v>
      </c>
      <c r="K263">
        <v>241</v>
      </c>
      <c r="L263">
        <v>0.78</v>
      </c>
      <c r="M263">
        <v>9</v>
      </c>
      <c r="N263" s="1">
        <f t="shared" si="76"/>
        <v>7.0333333333333332</v>
      </c>
      <c r="O263" s="1">
        <f>N263*(1+Control_Panel!$B$2)</f>
        <v>7.0333333333333332</v>
      </c>
      <c r="P263" s="12">
        <f t="shared" si="77"/>
        <v>0.38388625592417064</v>
      </c>
      <c r="Q263" t="str" cm="1">
        <f t="array" ref="Q263">_xlfn.IFS(P263&lt;0.2,"Stable",P263&lt;=0.5,"Moderate",P263&gt;0.5,"Highly veriable")</f>
        <v>Moderate</v>
      </c>
      <c r="R263" s="1">
        <f t="shared" si="78"/>
        <v>396.8173383308748</v>
      </c>
      <c r="S263" s="1">
        <f t="shared" si="79"/>
        <v>427.85067166420811</v>
      </c>
      <c r="T263" s="1">
        <f t="shared" si="80"/>
        <v>-25.850671664208107</v>
      </c>
      <c r="U263" t="str">
        <f t="shared" si="81"/>
        <v xml:space="preserve"> Need to Order</v>
      </c>
      <c r="V263">
        <f t="shared" si="82"/>
        <v>2532</v>
      </c>
      <c r="W263" s="9">
        <f t="shared" si="83"/>
        <v>687362.04</v>
      </c>
      <c r="Y263">
        <f t="shared" si="84"/>
        <v>1.5410670644538541E-3</v>
      </c>
      <c r="Z263" s="12">
        <f t="shared" si="94"/>
        <v>0.80524208446414536</v>
      </c>
      <c r="AA263" t="str">
        <f t="shared" si="85"/>
        <v>B</v>
      </c>
      <c r="AB263" t="str">
        <f t="shared" si="86"/>
        <v>Y</v>
      </c>
      <c r="AC263" t="str">
        <f t="shared" si="87"/>
        <v>BY</v>
      </c>
      <c r="AD263" t="str">
        <f t="shared" si="88"/>
        <v>Periodic Review</v>
      </c>
      <c r="AE263" t="str">
        <f t="shared" si="89"/>
        <v>Bi-Weekly</v>
      </c>
      <c r="AF263" t="str">
        <f t="shared" si="90"/>
        <v>Periodic Review</v>
      </c>
      <c r="AG263" t="str">
        <f t="shared" si="91"/>
        <v>Low</v>
      </c>
      <c r="AH263">
        <f t="shared" si="92"/>
        <v>50</v>
      </c>
      <c r="AI263" t="str">
        <f t="shared" si="93"/>
        <v>Medium</v>
      </c>
    </row>
    <row r="264" spans="1:35">
      <c r="A264" t="s">
        <v>329</v>
      </c>
      <c r="B264" t="s">
        <v>40</v>
      </c>
      <c r="C264" t="s">
        <v>15</v>
      </c>
      <c r="D264" t="s">
        <v>41</v>
      </c>
      <c r="E264">
        <v>774</v>
      </c>
      <c r="F264">
        <v>222</v>
      </c>
      <c r="G264">
        <v>45</v>
      </c>
      <c r="H264">
        <v>25</v>
      </c>
      <c r="I264">
        <v>255.24</v>
      </c>
      <c r="J264">
        <v>0.08</v>
      </c>
      <c r="K264">
        <v>833</v>
      </c>
      <c r="L264">
        <v>0.74</v>
      </c>
      <c r="M264">
        <v>5</v>
      </c>
      <c r="N264" s="1">
        <f t="shared" si="76"/>
        <v>7.4</v>
      </c>
      <c r="O264" s="1">
        <f>N264*(1+Control_Panel!$B$2)</f>
        <v>7.4</v>
      </c>
      <c r="P264" s="12">
        <f t="shared" si="77"/>
        <v>0.20270270270270271</v>
      </c>
      <c r="Q264" t="str" cm="1">
        <f t="array" ref="Q264">_xlfn.IFS(P264&lt;0.2,"Stable",P264&lt;=0.5,"Moderate",P264&gt;0.5,"Highly veriable")</f>
        <v>Moderate</v>
      </c>
      <c r="R264" s="1">
        <f t="shared" si="78"/>
        <v>225</v>
      </c>
      <c r="S264" s="1">
        <f t="shared" si="79"/>
        <v>257.39999999999998</v>
      </c>
      <c r="T264" s="1">
        <f t="shared" si="80"/>
        <v>516.6</v>
      </c>
      <c r="U264" t="str">
        <f t="shared" si="81"/>
        <v xml:space="preserve"> Safe</v>
      </c>
      <c r="V264">
        <f t="shared" si="82"/>
        <v>2664</v>
      </c>
      <c r="W264" s="9">
        <f t="shared" si="83"/>
        <v>679959.36</v>
      </c>
      <c r="Y264">
        <f t="shared" si="84"/>
        <v>1.5244702411310368E-3</v>
      </c>
      <c r="Z264" s="12">
        <f t="shared" si="94"/>
        <v>0.80676655470527636</v>
      </c>
      <c r="AA264" t="str">
        <f t="shared" si="85"/>
        <v>B</v>
      </c>
      <c r="AB264" t="str">
        <f t="shared" si="86"/>
        <v>Y</v>
      </c>
      <c r="AC264" t="str">
        <f t="shared" si="87"/>
        <v>BY</v>
      </c>
      <c r="AD264" t="str">
        <f t="shared" si="88"/>
        <v>Periodic Review</v>
      </c>
      <c r="AE264" t="str">
        <f t="shared" si="89"/>
        <v>Bi-Weekly</v>
      </c>
      <c r="AF264" t="str">
        <f t="shared" si="90"/>
        <v>Periodic Review</v>
      </c>
      <c r="AG264" t="str">
        <f t="shared" si="91"/>
        <v>Low</v>
      </c>
      <c r="AH264">
        <f t="shared" si="92"/>
        <v>40</v>
      </c>
      <c r="AI264" t="str">
        <f t="shared" si="93"/>
        <v>Low</v>
      </c>
    </row>
    <row r="265" spans="1:35">
      <c r="A265" t="s">
        <v>218</v>
      </c>
      <c r="B265" t="s">
        <v>21</v>
      </c>
      <c r="C265" t="s">
        <v>15</v>
      </c>
      <c r="D265" t="s">
        <v>23</v>
      </c>
      <c r="E265">
        <v>153</v>
      </c>
      <c r="F265">
        <v>349</v>
      </c>
      <c r="G265">
        <v>9</v>
      </c>
      <c r="H265">
        <v>6</v>
      </c>
      <c r="I265">
        <v>161.26</v>
      </c>
      <c r="J265">
        <v>0.1</v>
      </c>
      <c r="K265">
        <v>399</v>
      </c>
      <c r="L265">
        <v>0.82</v>
      </c>
      <c r="M265">
        <v>2</v>
      </c>
      <c r="N265" s="1">
        <f t="shared" si="76"/>
        <v>11.633333333333333</v>
      </c>
      <c r="O265" s="1">
        <f>N265*(1+Control_Panel!$B$2)</f>
        <v>11.633333333333333</v>
      </c>
      <c r="P265" s="12">
        <f t="shared" si="77"/>
        <v>2.5787965616045846E-2</v>
      </c>
      <c r="Q265" t="str" cm="1">
        <f t="array" ref="Q265">_xlfn.IFS(P265&lt;0.2,"Stable",P265&lt;=0.5,"Moderate",P265&gt;0.5,"Highly veriable")</f>
        <v>Stable</v>
      </c>
      <c r="R265" s="1">
        <f t="shared" si="78"/>
        <v>22.045407685048602</v>
      </c>
      <c r="S265" s="1">
        <f t="shared" si="79"/>
        <v>39.678741018381935</v>
      </c>
      <c r="T265" s="1">
        <f t="shared" si="80"/>
        <v>113.32125898161806</v>
      </c>
      <c r="U265" t="str">
        <f t="shared" si="81"/>
        <v xml:space="preserve"> Safe</v>
      </c>
      <c r="V265">
        <f t="shared" si="82"/>
        <v>4188</v>
      </c>
      <c r="W265" s="9">
        <f t="shared" si="83"/>
        <v>675356.88</v>
      </c>
      <c r="Y265">
        <f t="shared" si="84"/>
        <v>1.514151471792527E-3</v>
      </c>
      <c r="Z265" s="12">
        <f t="shared" si="94"/>
        <v>0.80828070617706893</v>
      </c>
      <c r="AA265" t="str">
        <f t="shared" si="85"/>
        <v>B</v>
      </c>
      <c r="AB265" t="str">
        <f t="shared" si="86"/>
        <v>X</v>
      </c>
      <c r="AC265" t="str">
        <f t="shared" si="87"/>
        <v>BX</v>
      </c>
      <c r="AD265" t="str">
        <f t="shared" si="88"/>
        <v>Standard Control</v>
      </c>
      <c r="AE265" t="str">
        <f t="shared" si="89"/>
        <v>Weekly</v>
      </c>
      <c r="AF265" t="str">
        <f t="shared" si="90"/>
        <v>Standard Replenishment</v>
      </c>
      <c r="AG265" t="str">
        <f t="shared" si="91"/>
        <v>Low</v>
      </c>
      <c r="AH265">
        <f t="shared" si="92"/>
        <v>30</v>
      </c>
      <c r="AI265" t="str">
        <f t="shared" si="93"/>
        <v>Low</v>
      </c>
    </row>
    <row r="266" spans="1:35">
      <c r="A266" t="s">
        <v>332</v>
      </c>
      <c r="B266" t="s">
        <v>21</v>
      </c>
      <c r="C266" t="s">
        <v>15</v>
      </c>
      <c r="D266" t="s">
        <v>25</v>
      </c>
      <c r="E266">
        <v>840</v>
      </c>
      <c r="F266">
        <v>307</v>
      </c>
      <c r="G266">
        <v>6</v>
      </c>
      <c r="H266">
        <v>29</v>
      </c>
      <c r="I266">
        <v>182.92</v>
      </c>
      <c r="J266">
        <v>0.12</v>
      </c>
      <c r="K266">
        <v>244</v>
      </c>
      <c r="L266">
        <v>0.78</v>
      </c>
      <c r="M266">
        <v>2</v>
      </c>
      <c r="N266" s="1">
        <f t="shared" si="76"/>
        <v>10.233333333333333</v>
      </c>
      <c r="O266" s="1">
        <f>N266*(1+Control_Panel!$B$2)</f>
        <v>10.233333333333333</v>
      </c>
      <c r="P266" s="12">
        <f t="shared" si="77"/>
        <v>1.9543973941368076E-2</v>
      </c>
      <c r="Q266" t="str" cm="1">
        <f t="array" ref="Q266">_xlfn.IFS(P266&lt;0.2,"Stable",P266&lt;=0.5,"Moderate",P266&gt;0.5,"Highly veriable")</f>
        <v>Stable</v>
      </c>
      <c r="R266" s="1">
        <f t="shared" si="78"/>
        <v>32.310988842807021</v>
      </c>
      <c r="S266" s="1">
        <f t="shared" si="79"/>
        <v>71.544322176140355</v>
      </c>
      <c r="T266" s="1">
        <f t="shared" si="80"/>
        <v>768.45567782385967</v>
      </c>
      <c r="U266" t="str">
        <f t="shared" si="81"/>
        <v xml:space="preserve"> Safe</v>
      </c>
      <c r="V266">
        <f t="shared" si="82"/>
        <v>3684</v>
      </c>
      <c r="W266" s="9">
        <f t="shared" si="83"/>
        <v>673877.27999999991</v>
      </c>
      <c r="Y266">
        <f t="shared" si="84"/>
        <v>1.5108342056418299E-3</v>
      </c>
      <c r="Z266" s="12">
        <f t="shared" si="94"/>
        <v>0.80979154038271073</v>
      </c>
      <c r="AA266" t="str">
        <f t="shared" si="85"/>
        <v>B</v>
      </c>
      <c r="AB266" t="str">
        <f t="shared" si="86"/>
        <v>X</v>
      </c>
      <c r="AC266" t="str">
        <f t="shared" si="87"/>
        <v>BX</v>
      </c>
      <c r="AD266" t="str">
        <f t="shared" si="88"/>
        <v>Standard Control</v>
      </c>
      <c r="AE266" t="str">
        <f t="shared" si="89"/>
        <v>Weekly</v>
      </c>
      <c r="AF266" t="str">
        <f t="shared" si="90"/>
        <v>Standard Replenishment</v>
      </c>
      <c r="AG266" t="str">
        <f t="shared" si="91"/>
        <v>Low</v>
      </c>
      <c r="AH266">
        <f t="shared" si="92"/>
        <v>30</v>
      </c>
      <c r="AI266" t="str">
        <f t="shared" si="93"/>
        <v>Low</v>
      </c>
    </row>
    <row r="267" spans="1:35">
      <c r="A267" t="s">
        <v>483</v>
      </c>
      <c r="B267" t="s">
        <v>18</v>
      </c>
      <c r="C267" t="s">
        <v>22</v>
      </c>
      <c r="D267" t="s">
        <v>25</v>
      </c>
      <c r="E267">
        <v>599</v>
      </c>
      <c r="F267">
        <v>298</v>
      </c>
      <c r="G267">
        <v>78</v>
      </c>
      <c r="H267">
        <v>24</v>
      </c>
      <c r="I267">
        <v>188.18</v>
      </c>
      <c r="J267">
        <v>0.23</v>
      </c>
      <c r="K267">
        <v>810</v>
      </c>
      <c r="L267">
        <v>0.99</v>
      </c>
      <c r="M267">
        <v>1</v>
      </c>
      <c r="N267" s="1">
        <f t="shared" si="76"/>
        <v>9.9333333333333336</v>
      </c>
      <c r="O267" s="1">
        <f>N267*(1+Control_Panel!$B$2)</f>
        <v>9.9333333333333336</v>
      </c>
      <c r="P267" s="12">
        <f t="shared" si="77"/>
        <v>0.26174496644295303</v>
      </c>
      <c r="Q267" t="str" cm="1">
        <f t="array" ref="Q267">_xlfn.IFS(P267&lt;0.2,"Stable",P267&lt;=0.5,"Moderate",P267&gt;0.5,"Highly veriable")</f>
        <v>Moderate</v>
      </c>
      <c r="R267" s="1">
        <f t="shared" si="78"/>
        <v>382.12039987417575</v>
      </c>
      <c r="S267" s="1">
        <f t="shared" si="79"/>
        <v>416.05373320750908</v>
      </c>
      <c r="T267" s="1">
        <f t="shared" si="80"/>
        <v>182.94626679249092</v>
      </c>
      <c r="U267" t="str">
        <f t="shared" si="81"/>
        <v xml:space="preserve"> Risk</v>
      </c>
      <c r="V267">
        <f t="shared" si="82"/>
        <v>3576</v>
      </c>
      <c r="W267" s="9">
        <f t="shared" si="83"/>
        <v>672931.68</v>
      </c>
      <c r="Y267">
        <f t="shared" si="84"/>
        <v>1.5087141685560645E-3</v>
      </c>
      <c r="Z267" s="12">
        <f t="shared" si="94"/>
        <v>0.81130025455126675</v>
      </c>
      <c r="AA267" t="str">
        <f t="shared" si="85"/>
        <v>B</v>
      </c>
      <c r="AB267" t="str">
        <f t="shared" si="86"/>
        <v>Y</v>
      </c>
      <c r="AC267" t="str">
        <f t="shared" si="87"/>
        <v>BY</v>
      </c>
      <c r="AD267" t="str">
        <f t="shared" si="88"/>
        <v>Periodic Review</v>
      </c>
      <c r="AE267" t="str">
        <f t="shared" si="89"/>
        <v>Bi-Weekly</v>
      </c>
      <c r="AF267" t="str">
        <f t="shared" si="90"/>
        <v>Periodic Review</v>
      </c>
      <c r="AG267" t="str">
        <f t="shared" si="91"/>
        <v>Low</v>
      </c>
      <c r="AH267">
        <f t="shared" si="92"/>
        <v>30</v>
      </c>
      <c r="AI267" t="str">
        <f t="shared" si="93"/>
        <v>Low</v>
      </c>
    </row>
    <row r="268" spans="1:35">
      <c r="A268" t="s">
        <v>350</v>
      </c>
      <c r="B268" t="s">
        <v>29</v>
      </c>
      <c r="C268" t="s">
        <v>22</v>
      </c>
      <c r="D268" t="s">
        <v>19</v>
      </c>
      <c r="E268">
        <v>135</v>
      </c>
      <c r="F268">
        <v>342</v>
      </c>
      <c r="G268">
        <v>43</v>
      </c>
      <c r="H268">
        <v>16</v>
      </c>
      <c r="I268">
        <v>163.80000000000001</v>
      </c>
      <c r="J268">
        <v>0.05</v>
      </c>
      <c r="K268">
        <v>919</v>
      </c>
      <c r="L268">
        <v>0.79</v>
      </c>
      <c r="M268">
        <v>9</v>
      </c>
      <c r="N268" s="1">
        <f t="shared" si="76"/>
        <v>11.4</v>
      </c>
      <c r="O268" s="1">
        <f>N268*(1+Control_Panel!$B$2)</f>
        <v>11.4</v>
      </c>
      <c r="P268" s="12">
        <f t="shared" si="77"/>
        <v>0.12573099415204678</v>
      </c>
      <c r="Q268" t="str" cm="1">
        <f t="array" ref="Q268">_xlfn.IFS(P268&lt;0.2,"Stable",P268&lt;=0.5,"Moderate",P268&gt;0.5,"Highly veriable")</f>
        <v>Stable</v>
      </c>
      <c r="R268" s="1">
        <f t="shared" si="78"/>
        <v>172</v>
      </c>
      <c r="S268" s="1">
        <f t="shared" si="79"/>
        <v>199.4</v>
      </c>
      <c r="T268" s="1">
        <f t="shared" si="80"/>
        <v>-64.400000000000006</v>
      </c>
      <c r="U268" t="str">
        <f t="shared" si="81"/>
        <v xml:space="preserve"> Need to Order</v>
      </c>
      <c r="V268">
        <f t="shared" si="82"/>
        <v>4104</v>
      </c>
      <c r="W268" s="9">
        <f t="shared" si="83"/>
        <v>672235.20000000007</v>
      </c>
      <c r="Y268">
        <f t="shared" si="84"/>
        <v>1.5071526590071072E-3</v>
      </c>
      <c r="Z268" s="12">
        <f t="shared" si="94"/>
        <v>0.81280740721027389</v>
      </c>
      <c r="AA268" t="str">
        <f t="shared" si="85"/>
        <v>B</v>
      </c>
      <c r="AB268" t="str">
        <f t="shared" si="86"/>
        <v>X</v>
      </c>
      <c r="AC268" t="str">
        <f t="shared" si="87"/>
        <v>BX</v>
      </c>
      <c r="AD268" t="str">
        <f t="shared" si="88"/>
        <v>Standard Control</v>
      </c>
      <c r="AE268" t="str">
        <f t="shared" si="89"/>
        <v>Weekly</v>
      </c>
      <c r="AF268" t="str">
        <f t="shared" si="90"/>
        <v>Standard Replenishment</v>
      </c>
      <c r="AG268" t="str">
        <f t="shared" si="91"/>
        <v>Low</v>
      </c>
      <c r="AH268">
        <f t="shared" si="92"/>
        <v>50</v>
      </c>
      <c r="AI268" t="str">
        <f t="shared" si="93"/>
        <v>Medium</v>
      </c>
    </row>
    <row r="269" spans="1:35">
      <c r="A269" t="s">
        <v>280</v>
      </c>
      <c r="B269" t="s">
        <v>21</v>
      </c>
      <c r="C269" t="s">
        <v>22</v>
      </c>
      <c r="D269" t="s">
        <v>23</v>
      </c>
      <c r="E269">
        <v>747</v>
      </c>
      <c r="F269">
        <v>322</v>
      </c>
      <c r="G269">
        <v>68</v>
      </c>
      <c r="H269">
        <v>21</v>
      </c>
      <c r="I269">
        <v>173.01</v>
      </c>
      <c r="J269">
        <v>0.13</v>
      </c>
      <c r="K269">
        <v>951</v>
      </c>
      <c r="L269">
        <v>0.94</v>
      </c>
      <c r="M269">
        <v>10</v>
      </c>
      <c r="N269" s="1">
        <f t="shared" si="76"/>
        <v>10.733333333333333</v>
      </c>
      <c r="O269" s="1">
        <f>N269*(1+Control_Panel!$B$2)</f>
        <v>10.733333333333333</v>
      </c>
      <c r="P269" s="12">
        <f t="shared" si="77"/>
        <v>0.21118012422360249</v>
      </c>
      <c r="Q269" t="str" cm="1">
        <f t="array" ref="Q269">_xlfn.IFS(P269&lt;0.2,"Stable",P269&lt;=0.5,"Moderate",P269&gt;0.5,"Highly veriable")</f>
        <v>Moderate</v>
      </c>
      <c r="R269" s="1">
        <f t="shared" si="78"/>
        <v>311.61514725699709</v>
      </c>
      <c r="S269" s="1">
        <f t="shared" si="79"/>
        <v>343.34848059033044</v>
      </c>
      <c r="T269" s="1">
        <f t="shared" si="80"/>
        <v>403.65151940966956</v>
      </c>
      <c r="U269" t="str">
        <f t="shared" si="81"/>
        <v xml:space="preserve"> Safe</v>
      </c>
      <c r="V269">
        <f t="shared" si="82"/>
        <v>3864</v>
      </c>
      <c r="W269" s="9">
        <f t="shared" si="83"/>
        <v>668510.64</v>
      </c>
      <c r="Y269">
        <f t="shared" si="84"/>
        <v>1.4988021880593919E-3</v>
      </c>
      <c r="Z269" s="12">
        <f t="shared" si="94"/>
        <v>0.81430620939833331</v>
      </c>
      <c r="AA269" t="str">
        <f t="shared" si="85"/>
        <v>B</v>
      </c>
      <c r="AB269" t="str">
        <f t="shared" si="86"/>
        <v>Y</v>
      </c>
      <c r="AC269" t="str">
        <f t="shared" si="87"/>
        <v>BY</v>
      </c>
      <c r="AD269" t="str">
        <f t="shared" si="88"/>
        <v>Periodic Review</v>
      </c>
      <c r="AE269" t="str">
        <f t="shared" si="89"/>
        <v>Bi-Weekly</v>
      </c>
      <c r="AF269" t="str">
        <f t="shared" si="90"/>
        <v>Periodic Review</v>
      </c>
      <c r="AG269" t="str">
        <f t="shared" si="91"/>
        <v>Low</v>
      </c>
      <c r="AH269">
        <f t="shared" si="92"/>
        <v>50</v>
      </c>
      <c r="AI269" t="str">
        <f t="shared" si="93"/>
        <v>Medium</v>
      </c>
    </row>
    <row r="270" spans="1:35">
      <c r="A270" t="s">
        <v>114</v>
      </c>
      <c r="B270" t="s">
        <v>36</v>
      </c>
      <c r="C270" t="s">
        <v>15</v>
      </c>
      <c r="D270" t="s">
        <v>19</v>
      </c>
      <c r="E270">
        <v>299</v>
      </c>
      <c r="F270">
        <v>231</v>
      </c>
      <c r="G270">
        <v>86</v>
      </c>
      <c r="H270">
        <v>1</v>
      </c>
      <c r="I270">
        <v>238.95</v>
      </c>
      <c r="J270">
        <v>0.09</v>
      </c>
      <c r="K270">
        <v>347</v>
      </c>
      <c r="L270">
        <v>0.8</v>
      </c>
      <c r="M270">
        <v>10</v>
      </c>
      <c r="N270" s="1">
        <f t="shared" si="76"/>
        <v>7.7</v>
      </c>
      <c r="O270" s="1">
        <f>N270*(1+Control_Panel!$B$2)</f>
        <v>7.7</v>
      </c>
      <c r="P270" s="12">
        <f t="shared" si="77"/>
        <v>0.37229437229437229</v>
      </c>
      <c r="Q270" t="str" cm="1">
        <f t="array" ref="Q270">_xlfn.IFS(P270&lt;0.2,"Stable",P270&lt;=0.5,"Moderate",P270&gt;0.5,"Highly veriable")</f>
        <v>Moderate</v>
      </c>
      <c r="R270" s="1">
        <f t="shared" si="78"/>
        <v>86</v>
      </c>
      <c r="S270" s="1">
        <f t="shared" si="79"/>
        <v>94.7</v>
      </c>
      <c r="T270" s="1">
        <f t="shared" si="80"/>
        <v>204.3</v>
      </c>
      <c r="U270" t="str">
        <f t="shared" si="81"/>
        <v xml:space="preserve"> Safe</v>
      </c>
      <c r="V270">
        <f t="shared" si="82"/>
        <v>2772</v>
      </c>
      <c r="W270" s="9">
        <f t="shared" si="83"/>
        <v>662369.4</v>
      </c>
      <c r="Y270">
        <f t="shared" si="84"/>
        <v>1.4850335157322052E-3</v>
      </c>
      <c r="Z270" s="12">
        <f t="shared" si="94"/>
        <v>0.81579124291406557</v>
      </c>
      <c r="AA270" t="str">
        <f t="shared" si="85"/>
        <v>B</v>
      </c>
      <c r="AB270" t="str">
        <f t="shared" si="86"/>
        <v>Y</v>
      </c>
      <c r="AC270" t="str">
        <f t="shared" si="87"/>
        <v>BY</v>
      </c>
      <c r="AD270" t="str">
        <f t="shared" si="88"/>
        <v>Periodic Review</v>
      </c>
      <c r="AE270" t="str">
        <f t="shared" si="89"/>
        <v>Bi-Weekly</v>
      </c>
      <c r="AF270" t="str">
        <f t="shared" si="90"/>
        <v>Periodic Review</v>
      </c>
      <c r="AG270" t="str">
        <f t="shared" si="91"/>
        <v>Low</v>
      </c>
      <c r="AH270">
        <f t="shared" si="92"/>
        <v>50</v>
      </c>
      <c r="AI270" t="str">
        <f t="shared" si="93"/>
        <v>Medium</v>
      </c>
    </row>
    <row r="271" spans="1:35">
      <c r="A271" t="s">
        <v>137</v>
      </c>
      <c r="B271" t="s">
        <v>21</v>
      </c>
      <c r="C271" t="s">
        <v>22</v>
      </c>
      <c r="D271" t="s">
        <v>19</v>
      </c>
      <c r="E271">
        <v>823</v>
      </c>
      <c r="F271">
        <v>449</v>
      </c>
      <c r="G271">
        <v>85</v>
      </c>
      <c r="H271">
        <v>22</v>
      </c>
      <c r="I271">
        <v>122.32</v>
      </c>
      <c r="J271">
        <v>0.19</v>
      </c>
      <c r="K271">
        <v>821</v>
      </c>
      <c r="L271">
        <v>0.95</v>
      </c>
      <c r="M271">
        <v>2</v>
      </c>
      <c r="N271" s="1">
        <f t="shared" si="76"/>
        <v>14.966666666666667</v>
      </c>
      <c r="O271" s="1">
        <f>N271*(1+Control_Panel!$B$2)</f>
        <v>14.966666666666667</v>
      </c>
      <c r="P271" s="12">
        <f t="shared" si="77"/>
        <v>0.18930957683741648</v>
      </c>
      <c r="Q271" t="str" cm="1">
        <f t="array" ref="Q271">_xlfn.IFS(P271&lt;0.2,"Stable",P271&lt;=0.5,"Moderate",P271&gt;0.5,"Highly veriable")</f>
        <v>Stable</v>
      </c>
      <c r="R271" s="1">
        <f t="shared" si="78"/>
        <v>398.68533958499154</v>
      </c>
      <c r="S271" s="1">
        <f t="shared" si="79"/>
        <v>435.65200625165824</v>
      </c>
      <c r="T271" s="1">
        <f t="shared" si="80"/>
        <v>387.34799374834176</v>
      </c>
      <c r="U271" t="str">
        <f t="shared" si="81"/>
        <v xml:space="preserve"> Risk</v>
      </c>
      <c r="V271">
        <f t="shared" si="82"/>
        <v>5388</v>
      </c>
      <c r="W271" s="9">
        <f t="shared" si="83"/>
        <v>659060.15999999992</v>
      </c>
      <c r="Y271">
        <f t="shared" si="84"/>
        <v>1.477614193052743E-3</v>
      </c>
      <c r="Z271" s="12">
        <f t="shared" si="94"/>
        <v>0.81726885710711827</v>
      </c>
      <c r="AA271" t="str">
        <f t="shared" si="85"/>
        <v>B</v>
      </c>
      <c r="AB271" t="str">
        <f t="shared" si="86"/>
        <v>X</v>
      </c>
      <c r="AC271" t="str">
        <f t="shared" si="87"/>
        <v>BX</v>
      </c>
      <c r="AD271" t="str">
        <f t="shared" si="88"/>
        <v>Standard Control</v>
      </c>
      <c r="AE271" t="str">
        <f t="shared" si="89"/>
        <v>Weekly</v>
      </c>
      <c r="AF271" t="str">
        <f t="shared" si="90"/>
        <v>Standard Replenishment</v>
      </c>
      <c r="AG271" t="str">
        <f t="shared" si="91"/>
        <v>Low</v>
      </c>
      <c r="AH271">
        <f t="shared" si="92"/>
        <v>30</v>
      </c>
      <c r="AI271" t="str">
        <f t="shared" si="93"/>
        <v>Low</v>
      </c>
    </row>
    <row r="272" spans="1:35">
      <c r="A272" t="s">
        <v>39</v>
      </c>
      <c r="B272" t="s">
        <v>40</v>
      </c>
      <c r="C272" t="s">
        <v>15</v>
      </c>
      <c r="D272" t="s">
        <v>41</v>
      </c>
      <c r="E272">
        <v>920</v>
      </c>
      <c r="F272">
        <v>150</v>
      </c>
      <c r="G272">
        <v>88</v>
      </c>
      <c r="H272">
        <v>1</v>
      </c>
      <c r="I272">
        <v>363.85</v>
      </c>
      <c r="J272">
        <v>0.24</v>
      </c>
      <c r="K272">
        <v>221</v>
      </c>
      <c r="L272">
        <v>0.87</v>
      </c>
      <c r="M272">
        <v>9</v>
      </c>
      <c r="N272" s="1">
        <f t="shared" si="76"/>
        <v>5</v>
      </c>
      <c r="O272" s="1">
        <f>N272*(1+Control_Panel!$B$2)</f>
        <v>5</v>
      </c>
      <c r="P272" s="12">
        <f t="shared" si="77"/>
        <v>0.58666666666666667</v>
      </c>
      <c r="Q272" t="str" cm="1">
        <f t="array" ref="Q272">_xlfn.IFS(P272&lt;0.2,"Stable",P272&lt;=0.5,"Moderate",P272&gt;0.5,"Highly veriable")</f>
        <v>Highly veriable</v>
      </c>
      <c r="R272" s="1">
        <f t="shared" si="78"/>
        <v>88</v>
      </c>
      <c r="S272" s="1">
        <f t="shared" si="79"/>
        <v>94</v>
      </c>
      <c r="T272" s="1">
        <f t="shared" si="80"/>
        <v>826</v>
      </c>
      <c r="U272" t="str">
        <f t="shared" si="81"/>
        <v xml:space="preserve"> Safe</v>
      </c>
      <c r="V272">
        <f t="shared" si="82"/>
        <v>1800</v>
      </c>
      <c r="W272" s="9">
        <f t="shared" si="83"/>
        <v>654930</v>
      </c>
      <c r="Y272">
        <f t="shared" si="84"/>
        <v>1.4683543660961589E-3</v>
      </c>
      <c r="Z272" s="12">
        <f t="shared" si="94"/>
        <v>0.81873721147321443</v>
      </c>
      <c r="AA272" t="str">
        <f t="shared" si="85"/>
        <v>B</v>
      </c>
      <c r="AB272" t="str">
        <f t="shared" si="86"/>
        <v>Z</v>
      </c>
      <c r="AC272" t="str">
        <f t="shared" si="87"/>
        <v>BZ</v>
      </c>
      <c r="AD272" t="str">
        <f t="shared" si="88"/>
        <v>Risk Monitoring</v>
      </c>
      <c r="AE272" t="str">
        <f t="shared" si="89"/>
        <v>Weekly Risk Review</v>
      </c>
      <c r="AF272" t="str">
        <f t="shared" si="90"/>
        <v>Monitor Demand Variability</v>
      </c>
      <c r="AG272" t="str">
        <f t="shared" si="91"/>
        <v>Medium</v>
      </c>
      <c r="AH272">
        <f t="shared" si="92"/>
        <v>50</v>
      </c>
      <c r="AI272" t="str">
        <f t="shared" si="93"/>
        <v>Medium</v>
      </c>
    </row>
    <row r="273" spans="1:35">
      <c r="A273" t="s">
        <v>69</v>
      </c>
      <c r="B273" t="s">
        <v>38</v>
      </c>
      <c r="C273" t="s">
        <v>22</v>
      </c>
      <c r="D273" t="s">
        <v>19</v>
      </c>
      <c r="E273">
        <v>759</v>
      </c>
      <c r="F273">
        <v>198</v>
      </c>
      <c r="G273">
        <v>29</v>
      </c>
      <c r="H273">
        <v>2</v>
      </c>
      <c r="I273">
        <v>274.33999999999997</v>
      </c>
      <c r="J273">
        <v>0.18</v>
      </c>
      <c r="K273">
        <v>745</v>
      </c>
      <c r="L273">
        <v>0.9</v>
      </c>
      <c r="M273">
        <v>1</v>
      </c>
      <c r="N273" s="1">
        <f t="shared" si="76"/>
        <v>6.6</v>
      </c>
      <c r="O273" s="1">
        <f>N273*(1+Control_Panel!$B$2)</f>
        <v>6.6</v>
      </c>
      <c r="P273" s="12">
        <f t="shared" si="77"/>
        <v>0.14646464646464646</v>
      </c>
      <c r="Q273" t="str" cm="1">
        <f t="array" ref="Q273">_xlfn.IFS(P273&lt;0.2,"Stable",P273&lt;=0.5,"Moderate",P273&gt;0.5,"Highly veriable")</f>
        <v>Stable</v>
      </c>
      <c r="R273" s="1">
        <f t="shared" si="78"/>
        <v>41.012193308819761</v>
      </c>
      <c r="S273" s="1">
        <f t="shared" si="79"/>
        <v>49.612193308819762</v>
      </c>
      <c r="T273" s="1">
        <f t="shared" si="80"/>
        <v>709.38780669118023</v>
      </c>
      <c r="U273" t="str">
        <f t="shared" si="81"/>
        <v xml:space="preserve"> Safe</v>
      </c>
      <c r="V273">
        <f t="shared" si="82"/>
        <v>2376</v>
      </c>
      <c r="W273" s="9">
        <f t="shared" si="83"/>
        <v>651831.84</v>
      </c>
      <c r="Y273">
        <f t="shared" si="84"/>
        <v>1.4614082851976437E-3</v>
      </c>
      <c r="Z273" s="12">
        <f t="shared" si="94"/>
        <v>0.82019861975841213</v>
      </c>
      <c r="AA273" t="str">
        <f t="shared" si="85"/>
        <v>B</v>
      </c>
      <c r="AB273" t="str">
        <f t="shared" si="86"/>
        <v>X</v>
      </c>
      <c r="AC273" t="str">
        <f t="shared" si="87"/>
        <v>BX</v>
      </c>
      <c r="AD273" t="str">
        <f t="shared" si="88"/>
        <v>Standard Control</v>
      </c>
      <c r="AE273" t="str">
        <f t="shared" si="89"/>
        <v>Weekly</v>
      </c>
      <c r="AF273" t="str">
        <f t="shared" si="90"/>
        <v>Standard Replenishment</v>
      </c>
      <c r="AG273" t="str">
        <f t="shared" si="91"/>
        <v>Low</v>
      </c>
      <c r="AH273">
        <f t="shared" si="92"/>
        <v>30</v>
      </c>
      <c r="AI273" t="str">
        <f t="shared" si="93"/>
        <v>Low</v>
      </c>
    </row>
    <row r="274" spans="1:35">
      <c r="A274" t="s">
        <v>143</v>
      </c>
      <c r="B274" t="s">
        <v>18</v>
      </c>
      <c r="C274" t="s">
        <v>15</v>
      </c>
      <c r="D274" t="s">
        <v>25</v>
      </c>
      <c r="E274">
        <v>456</v>
      </c>
      <c r="F274">
        <v>147</v>
      </c>
      <c r="G274">
        <v>69</v>
      </c>
      <c r="H274">
        <v>12</v>
      </c>
      <c r="I274">
        <v>368.19</v>
      </c>
      <c r="J274">
        <v>0.08</v>
      </c>
      <c r="K274">
        <v>281</v>
      </c>
      <c r="L274">
        <v>0.72</v>
      </c>
      <c r="M274">
        <v>8</v>
      </c>
      <c r="N274" s="1">
        <f t="shared" si="76"/>
        <v>4.9000000000000004</v>
      </c>
      <c r="O274" s="1">
        <f>N274*(1+Control_Panel!$B$2)</f>
        <v>4.9000000000000004</v>
      </c>
      <c r="P274" s="12">
        <f t="shared" si="77"/>
        <v>0.46938775510204084</v>
      </c>
      <c r="Q274" t="str" cm="1">
        <f t="array" ref="Q274">_xlfn.IFS(P274&lt;0.2,"Stable",P274&lt;=0.5,"Moderate",P274&gt;0.5,"Highly veriable")</f>
        <v>Moderate</v>
      </c>
      <c r="R274" s="1">
        <f t="shared" si="78"/>
        <v>239.02301144450504</v>
      </c>
      <c r="S274" s="1">
        <f t="shared" si="79"/>
        <v>255.92301144450505</v>
      </c>
      <c r="T274" s="1">
        <f t="shared" si="80"/>
        <v>200.07698855549495</v>
      </c>
      <c r="U274" t="str">
        <f t="shared" si="81"/>
        <v xml:space="preserve"> Risk</v>
      </c>
      <c r="V274">
        <f t="shared" si="82"/>
        <v>1764</v>
      </c>
      <c r="W274" s="9">
        <f t="shared" si="83"/>
        <v>649487.16</v>
      </c>
      <c r="Y274">
        <f t="shared" si="84"/>
        <v>1.4561515079617585E-3</v>
      </c>
      <c r="Z274" s="12">
        <f t="shared" si="94"/>
        <v>0.82165477126637387</v>
      </c>
      <c r="AA274" t="str">
        <f t="shared" si="85"/>
        <v>B</v>
      </c>
      <c r="AB274" t="str">
        <f t="shared" si="86"/>
        <v>Y</v>
      </c>
      <c r="AC274" t="str">
        <f t="shared" si="87"/>
        <v>BY</v>
      </c>
      <c r="AD274" t="str">
        <f t="shared" si="88"/>
        <v>Periodic Review</v>
      </c>
      <c r="AE274" t="str">
        <f t="shared" si="89"/>
        <v>Bi-Weekly</v>
      </c>
      <c r="AF274" t="str">
        <f t="shared" si="90"/>
        <v>Periodic Review</v>
      </c>
      <c r="AG274" t="str">
        <f t="shared" si="91"/>
        <v>Low</v>
      </c>
      <c r="AH274">
        <f t="shared" si="92"/>
        <v>50</v>
      </c>
      <c r="AI274" t="str">
        <f t="shared" si="93"/>
        <v>Medium</v>
      </c>
    </row>
    <row r="275" spans="1:35">
      <c r="A275" t="s">
        <v>132</v>
      </c>
      <c r="B275" t="s">
        <v>34</v>
      </c>
      <c r="C275" t="s">
        <v>22</v>
      </c>
      <c r="D275" t="s">
        <v>19</v>
      </c>
      <c r="E275">
        <v>373</v>
      </c>
      <c r="F275">
        <v>208</v>
      </c>
      <c r="G275">
        <v>47</v>
      </c>
      <c r="H275">
        <v>26</v>
      </c>
      <c r="I275">
        <v>259.41000000000003</v>
      </c>
      <c r="J275">
        <v>0.2</v>
      </c>
      <c r="K275">
        <v>448</v>
      </c>
      <c r="L275">
        <v>0.95</v>
      </c>
      <c r="M275">
        <v>3</v>
      </c>
      <c r="N275" s="1">
        <f t="shared" si="76"/>
        <v>6.9333333333333336</v>
      </c>
      <c r="O275" s="1">
        <f>N275*(1+Control_Panel!$B$2)</f>
        <v>6.9333333333333336</v>
      </c>
      <c r="P275" s="12">
        <f t="shared" si="77"/>
        <v>0.22596153846153846</v>
      </c>
      <c r="Q275" t="str" cm="1">
        <f t="array" ref="Q275">_xlfn.IFS(P275&lt;0.2,"Stable",P275&lt;=0.5,"Moderate",P275&gt;0.5,"Highly veriable")</f>
        <v>Moderate</v>
      </c>
      <c r="R275" s="1">
        <f t="shared" si="78"/>
        <v>239.65391713886086</v>
      </c>
      <c r="S275" s="1">
        <f t="shared" si="79"/>
        <v>272.58725047219423</v>
      </c>
      <c r="T275" s="1">
        <f t="shared" si="80"/>
        <v>100.41274952780577</v>
      </c>
      <c r="U275" t="str">
        <f t="shared" si="81"/>
        <v xml:space="preserve"> Risk</v>
      </c>
      <c r="V275">
        <f t="shared" si="82"/>
        <v>2496</v>
      </c>
      <c r="W275" s="9">
        <f t="shared" si="83"/>
        <v>647487.3600000001</v>
      </c>
      <c r="Y275">
        <f t="shared" si="84"/>
        <v>1.4516679523736515E-3</v>
      </c>
      <c r="Z275" s="12">
        <f t="shared" si="94"/>
        <v>0.82310643921874749</v>
      </c>
      <c r="AA275" t="str">
        <f t="shared" si="85"/>
        <v>B</v>
      </c>
      <c r="AB275" t="str">
        <f t="shared" si="86"/>
        <v>Y</v>
      </c>
      <c r="AC275" t="str">
        <f t="shared" si="87"/>
        <v>BY</v>
      </c>
      <c r="AD275" t="str">
        <f t="shared" si="88"/>
        <v>Periodic Review</v>
      </c>
      <c r="AE275" t="str">
        <f t="shared" si="89"/>
        <v>Bi-Weekly</v>
      </c>
      <c r="AF275" t="str">
        <f t="shared" si="90"/>
        <v>Periodic Review</v>
      </c>
      <c r="AG275" t="str">
        <f t="shared" si="91"/>
        <v>Low</v>
      </c>
      <c r="AH275">
        <f t="shared" si="92"/>
        <v>30</v>
      </c>
      <c r="AI275" t="str">
        <f t="shared" si="93"/>
        <v>Low</v>
      </c>
    </row>
    <row r="276" spans="1:35">
      <c r="A276" t="s">
        <v>77</v>
      </c>
      <c r="B276" t="s">
        <v>14</v>
      </c>
      <c r="C276" t="s">
        <v>22</v>
      </c>
      <c r="D276" t="s">
        <v>19</v>
      </c>
      <c r="E276">
        <v>788</v>
      </c>
      <c r="F276">
        <v>188</v>
      </c>
      <c r="G276">
        <v>51</v>
      </c>
      <c r="H276">
        <v>9</v>
      </c>
      <c r="I276">
        <v>285.04000000000002</v>
      </c>
      <c r="J276">
        <v>0.16</v>
      </c>
      <c r="K276">
        <v>606</v>
      </c>
      <c r="L276">
        <v>0.8</v>
      </c>
      <c r="M276">
        <v>9</v>
      </c>
      <c r="N276" s="1">
        <f t="shared" si="76"/>
        <v>6.2666666666666666</v>
      </c>
      <c r="O276" s="1">
        <f>N276*(1+Control_Panel!$B$2)</f>
        <v>6.2666666666666666</v>
      </c>
      <c r="P276" s="12">
        <f t="shared" si="77"/>
        <v>0.27127659574468083</v>
      </c>
      <c r="Q276" t="str" cm="1">
        <f t="array" ref="Q276">_xlfn.IFS(P276&lt;0.2,"Stable",P276&lt;=0.5,"Moderate",P276&gt;0.5,"Highly veriable")</f>
        <v>Moderate</v>
      </c>
      <c r="R276" s="1">
        <f t="shared" si="78"/>
        <v>153</v>
      </c>
      <c r="S276" s="1">
        <f t="shared" si="79"/>
        <v>168.26666666666665</v>
      </c>
      <c r="T276" s="1">
        <f t="shared" si="80"/>
        <v>619.73333333333335</v>
      </c>
      <c r="U276" t="str">
        <f t="shared" si="81"/>
        <v xml:space="preserve"> Safe</v>
      </c>
      <c r="V276">
        <f t="shared" si="82"/>
        <v>2256</v>
      </c>
      <c r="W276" s="9">
        <f t="shared" si="83"/>
        <v>643050.23999999999</v>
      </c>
      <c r="Y276">
        <f t="shared" si="84"/>
        <v>1.4417199204849111E-3</v>
      </c>
      <c r="Z276" s="12">
        <f t="shared" si="94"/>
        <v>0.82454815913923241</v>
      </c>
      <c r="AA276" t="str">
        <f t="shared" si="85"/>
        <v>B</v>
      </c>
      <c r="AB276" t="str">
        <f t="shared" si="86"/>
        <v>Y</v>
      </c>
      <c r="AC276" t="str">
        <f t="shared" si="87"/>
        <v>BY</v>
      </c>
      <c r="AD276" t="str">
        <f t="shared" si="88"/>
        <v>Periodic Review</v>
      </c>
      <c r="AE276" t="str">
        <f t="shared" si="89"/>
        <v>Bi-Weekly</v>
      </c>
      <c r="AF276" t="str">
        <f t="shared" si="90"/>
        <v>Periodic Review</v>
      </c>
      <c r="AG276" t="str">
        <f t="shared" si="91"/>
        <v>Low</v>
      </c>
      <c r="AH276">
        <f t="shared" si="92"/>
        <v>50</v>
      </c>
      <c r="AI276" t="str">
        <f t="shared" si="93"/>
        <v>Medium</v>
      </c>
    </row>
    <row r="277" spans="1:35">
      <c r="A277" t="s">
        <v>383</v>
      </c>
      <c r="B277" t="s">
        <v>34</v>
      </c>
      <c r="C277" t="s">
        <v>15</v>
      </c>
      <c r="D277" t="s">
        <v>16</v>
      </c>
      <c r="E277">
        <v>434</v>
      </c>
      <c r="F277">
        <v>328</v>
      </c>
      <c r="G277">
        <v>84</v>
      </c>
      <c r="H277">
        <v>6</v>
      </c>
      <c r="I277">
        <v>162.31</v>
      </c>
      <c r="J277">
        <v>0.2</v>
      </c>
      <c r="K277">
        <v>110</v>
      </c>
      <c r="L277">
        <v>0.97</v>
      </c>
      <c r="M277">
        <v>9</v>
      </c>
      <c r="N277" s="1">
        <f t="shared" si="76"/>
        <v>10.933333333333334</v>
      </c>
      <c r="O277" s="1">
        <f>N277*(1+Control_Panel!$B$2)</f>
        <v>10.933333333333334</v>
      </c>
      <c r="P277" s="12">
        <f t="shared" si="77"/>
        <v>0.25609756097560976</v>
      </c>
      <c r="Q277" t="str" cm="1">
        <f t="array" ref="Q277">_xlfn.IFS(P277&lt;0.2,"Stable",P277&lt;=0.5,"Moderate",P277&gt;0.5,"Highly veriable")</f>
        <v>Moderate</v>
      </c>
      <c r="R277" s="1">
        <f t="shared" si="78"/>
        <v>205.75713839378693</v>
      </c>
      <c r="S277" s="1">
        <f t="shared" si="79"/>
        <v>222.69047172712027</v>
      </c>
      <c r="T277" s="1">
        <f t="shared" si="80"/>
        <v>211.30952827287973</v>
      </c>
      <c r="U277" t="str">
        <f t="shared" si="81"/>
        <v xml:space="preserve"> Safe</v>
      </c>
      <c r="V277">
        <f t="shared" si="82"/>
        <v>3936</v>
      </c>
      <c r="W277" s="9">
        <f t="shared" si="83"/>
        <v>638852.16</v>
      </c>
      <c r="Y277">
        <f t="shared" si="84"/>
        <v>1.4323078167528772E-3</v>
      </c>
      <c r="Z277" s="12">
        <f t="shared" si="94"/>
        <v>0.82598046695598526</v>
      </c>
      <c r="AA277" t="str">
        <f t="shared" si="85"/>
        <v>B</v>
      </c>
      <c r="AB277" t="str">
        <f t="shared" si="86"/>
        <v>Y</v>
      </c>
      <c r="AC277" t="str">
        <f t="shared" si="87"/>
        <v>BY</v>
      </c>
      <c r="AD277" t="str">
        <f t="shared" si="88"/>
        <v>Periodic Review</v>
      </c>
      <c r="AE277" t="str">
        <f t="shared" si="89"/>
        <v>Bi-Weekly</v>
      </c>
      <c r="AF277" t="str">
        <f t="shared" si="90"/>
        <v>Periodic Review</v>
      </c>
      <c r="AG277" t="str">
        <f t="shared" si="91"/>
        <v>Low</v>
      </c>
      <c r="AH277">
        <f t="shared" si="92"/>
        <v>50</v>
      </c>
      <c r="AI277" t="str">
        <f t="shared" si="93"/>
        <v>Medium</v>
      </c>
    </row>
    <row r="278" spans="1:35">
      <c r="A278" t="s">
        <v>294</v>
      </c>
      <c r="B278" t="s">
        <v>14</v>
      </c>
      <c r="C278" t="s">
        <v>15</v>
      </c>
      <c r="D278" t="s">
        <v>23</v>
      </c>
      <c r="E278">
        <v>720</v>
      </c>
      <c r="F278">
        <v>214</v>
      </c>
      <c r="G278">
        <v>9</v>
      </c>
      <c r="H278">
        <v>22</v>
      </c>
      <c r="I278">
        <v>248.77</v>
      </c>
      <c r="J278">
        <v>0.11</v>
      </c>
      <c r="K278">
        <v>799</v>
      </c>
      <c r="L278">
        <v>0.76</v>
      </c>
      <c r="M278">
        <v>6</v>
      </c>
      <c r="N278" s="1">
        <f t="shared" si="76"/>
        <v>7.1333333333333337</v>
      </c>
      <c r="O278" s="1">
        <f>N278*(1+Control_Panel!$B$2)</f>
        <v>7.1333333333333337</v>
      </c>
      <c r="P278" s="12">
        <f t="shared" si="77"/>
        <v>4.2056074766355138E-2</v>
      </c>
      <c r="Q278" t="str" cm="1">
        <f t="array" ref="Q278">_xlfn.IFS(P278&lt;0.2,"Stable",P278&lt;=0.5,"Moderate",P278&gt;0.5,"Highly veriable")</f>
        <v>Stable</v>
      </c>
      <c r="R278" s="1">
        <f t="shared" si="78"/>
        <v>42.213741838410868</v>
      </c>
      <c r="S278" s="1">
        <f t="shared" si="79"/>
        <v>71.347075171744194</v>
      </c>
      <c r="T278" s="1">
        <f t="shared" si="80"/>
        <v>648.65292482825578</v>
      </c>
      <c r="U278" t="str">
        <f t="shared" si="81"/>
        <v xml:space="preserve"> Safe</v>
      </c>
      <c r="V278">
        <f t="shared" si="82"/>
        <v>2568</v>
      </c>
      <c r="W278" s="9">
        <f t="shared" si="83"/>
        <v>638841.36</v>
      </c>
      <c r="Y278">
        <f t="shared" si="84"/>
        <v>1.4322836031313393E-3</v>
      </c>
      <c r="Z278" s="12">
        <f t="shared" si="94"/>
        <v>0.82741275055911656</v>
      </c>
      <c r="AA278" t="str">
        <f t="shared" si="85"/>
        <v>B</v>
      </c>
      <c r="AB278" t="str">
        <f t="shared" si="86"/>
        <v>X</v>
      </c>
      <c r="AC278" t="str">
        <f t="shared" si="87"/>
        <v>BX</v>
      </c>
      <c r="AD278" t="str">
        <f t="shared" si="88"/>
        <v>Standard Control</v>
      </c>
      <c r="AE278" t="str">
        <f t="shared" si="89"/>
        <v>Weekly</v>
      </c>
      <c r="AF278" t="str">
        <f t="shared" si="90"/>
        <v>Standard Replenishment</v>
      </c>
      <c r="AG278" t="str">
        <f t="shared" si="91"/>
        <v>Low</v>
      </c>
      <c r="AH278">
        <f t="shared" si="92"/>
        <v>40</v>
      </c>
      <c r="AI278" t="str">
        <f t="shared" si="93"/>
        <v>Low</v>
      </c>
    </row>
    <row r="279" spans="1:35">
      <c r="A279" t="s">
        <v>168</v>
      </c>
      <c r="B279" t="s">
        <v>18</v>
      </c>
      <c r="C279" t="s">
        <v>15</v>
      </c>
      <c r="D279" t="s">
        <v>19</v>
      </c>
      <c r="E279">
        <v>881</v>
      </c>
      <c r="F279">
        <v>250</v>
      </c>
      <c r="G279">
        <v>55</v>
      </c>
      <c r="H279">
        <v>21</v>
      </c>
      <c r="I279">
        <v>211.52</v>
      </c>
      <c r="J279">
        <v>0.18</v>
      </c>
      <c r="K279">
        <v>343</v>
      </c>
      <c r="L279">
        <v>0.9</v>
      </c>
      <c r="M279">
        <v>1</v>
      </c>
      <c r="N279" s="1">
        <f t="shared" si="76"/>
        <v>8.3333333333333339</v>
      </c>
      <c r="O279" s="1">
        <f>N279*(1+Control_Panel!$B$2)</f>
        <v>8.3333333333333339</v>
      </c>
      <c r="P279" s="12">
        <f t="shared" si="77"/>
        <v>0.22</v>
      </c>
      <c r="Q279" t="str" cm="1">
        <f t="array" ref="Q279">_xlfn.IFS(P279&lt;0.2,"Stable",P279&lt;=0.5,"Moderate",P279&gt;0.5,"Highly veriable")</f>
        <v>Moderate</v>
      </c>
      <c r="R279" s="1">
        <f t="shared" si="78"/>
        <v>252.0416632225712</v>
      </c>
      <c r="S279" s="1">
        <f t="shared" si="79"/>
        <v>281.37499655590454</v>
      </c>
      <c r="T279" s="1">
        <f t="shared" si="80"/>
        <v>599.62500344409546</v>
      </c>
      <c r="U279" t="str">
        <f t="shared" si="81"/>
        <v xml:space="preserve"> Safe</v>
      </c>
      <c r="V279">
        <f t="shared" si="82"/>
        <v>3000</v>
      </c>
      <c r="W279" s="9">
        <f t="shared" si="83"/>
        <v>634560</v>
      </c>
      <c r="Y279">
        <f t="shared" si="84"/>
        <v>1.422684785473224E-3</v>
      </c>
      <c r="Z279" s="12">
        <f t="shared" si="94"/>
        <v>0.82883543534458981</v>
      </c>
      <c r="AA279" t="str">
        <f t="shared" si="85"/>
        <v>B</v>
      </c>
      <c r="AB279" t="str">
        <f t="shared" si="86"/>
        <v>Y</v>
      </c>
      <c r="AC279" t="str">
        <f t="shared" si="87"/>
        <v>BY</v>
      </c>
      <c r="AD279" t="str">
        <f t="shared" si="88"/>
        <v>Periodic Review</v>
      </c>
      <c r="AE279" t="str">
        <f t="shared" si="89"/>
        <v>Bi-Weekly</v>
      </c>
      <c r="AF279" t="str">
        <f t="shared" si="90"/>
        <v>Periodic Review</v>
      </c>
      <c r="AG279" t="str">
        <f t="shared" si="91"/>
        <v>Low</v>
      </c>
      <c r="AH279">
        <f t="shared" si="92"/>
        <v>30</v>
      </c>
      <c r="AI279" t="str">
        <f t="shared" si="93"/>
        <v>Low</v>
      </c>
    </row>
    <row r="280" spans="1:35">
      <c r="A280" t="s">
        <v>472</v>
      </c>
      <c r="B280" t="s">
        <v>21</v>
      </c>
      <c r="C280" t="s">
        <v>22</v>
      </c>
      <c r="D280" t="s">
        <v>19</v>
      </c>
      <c r="E280">
        <v>155</v>
      </c>
      <c r="F280">
        <v>361</v>
      </c>
      <c r="G280">
        <v>45</v>
      </c>
      <c r="H280">
        <v>26</v>
      </c>
      <c r="I280">
        <v>146.13</v>
      </c>
      <c r="J280">
        <v>0.11</v>
      </c>
      <c r="K280">
        <v>400</v>
      </c>
      <c r="L280">
        <v>0.91</v>
      </c>
      <c r="M280">
        <v>9</v>
      </c>
      <c r="N280" s="1">
        <f t="shared" si="76"/>
        <v>12.033333333333333</v>
      </c>
      <c r="O280" s="1">
        <f>N280*(1+Control_Panel!$B$2)</f>
        <v>12.033333333333333</v>
      </c>
      <c r="P280" s="12">
        <f t="shared" si="77"/>
        <v>0.12465373961218837</v>
      </c>
      <c r="Q280" t="str" cm="1">
        <f t="array" ref="Q280">_xlfn.IFS(P280&lt;0.2,"Stable",P280&lt;=0.5,"Moderate",P280&gt;0.5,"Highly veriable")</f>
        <v>Stable</v>
      </c>
      <c r="R280" s="1">
        <f t="shared" si="78"/>
        <v>229.4558781116753</v>
      </c>
      <c r="S280" s="1">
        <f t="shared" si="79"/>
        <v>267.48921144500866</v>
      </c>
      <c r="T280" s="1">
        <f t="shared" si="80"/>
        <v>-112.48921144500866</v>
      </c>
      <c r="U280" t="str">
        <f t="shared" si="81"/>
        <v xml:space="preserve"> Need to Order</v>
      </c>
      <c r="V280">
        <f t="shared" si="82"/>
        <v>4332</v>
      </c>
      <c r="W280" s="9">
        <f t="shared" si="83"/>
        <v>633035.16</v>
      </c>
      <c r="Y280">
        <f t="shared" si="84"/>
        <v>1.4192660911523072E-3</v>
      </c>
      <c r="Z280" s="12">
        <f t="shared" si="94"/>
        <v>0.83025470143574209</v>
      </c>
      <c r="AA280" t="str">
        <f t="shared" si="85"/>
        <v>B</v>
      </c>
      <c r="AB280" t="str">
        <f t="shared" si="86"/>
        <v>X</v>
      </c>
      <c r="AC280" t="str">
        <f t="shared" si="87"/>
        <v>BX</v>
      </c>
      <c r="AD280" t="str">
        <f t="shared" si="88"/>
        <v>Standard Control</v>
      </c>
      <c r="AE280" t="str">
        <f t="shared" si="89"/>
        <v>Weekly</v>
      </c>
      <c r="AF280" t="str">
        <f t="shared" si="90"/>
        <v>Standard Replenishment</v>
      </c>
      <c r="AG280" t="str">
        <f t="shared" si="91"/>
        <v>Low</v>
      </c>
      <c r="AH280">
        <f t="shared" si="92"/>
        <v>50</v>
      </c>
      <c r="AI280" t="str">
        <f t="shared" si="93"/>
        <v>Medium</v>
      </c>
    </row>
    <row r="281" spans="1:35">
      <c r="A281" t="s">
        <v>402</v>
      </c>
      <c r="B281" t="s">
        <v>18</v>
      </c>
      <c r="C281" t="s">
        <v>15</v>
      </c>
      <c r="D281" t="s">
        <v>25</v>
      </c>
      <c r="E281">
        <v>650</v>
      </c>
      <c r="F281">
        <v>141</v>
      </c>
      <c r="G281">
        <v>14</v>
      </c>
      <c r="H281">
        <v>19</v>
      </c>
      <c r="I281">
        <v>373.04</v>
      </c>
      <c r="J281">
        <v>0.15</v>
      </c>
      <c r="K281">
        <v>465</v>
      </c>
      <c r="L281">
        <v>0.76</v>
      </c>
      <c r="M281">
        <v>8</v>
      </c>
      <c r="N281" s="1">
        <f t="shared" si="76"/>
        <v>4.7</v>
      </c>
      <c r="O281" s="1">
        <f>N281*(1+Control_Panel!$B$2)</f>
        <v>4.7</v>
      </c>
      <c r="P281" s="12">
        <f t="shared" si="77"/>
        <v>9.9290780141843976E-2</v>
      </c>
      <c r="Q281" t="str" cm="1">
        <f t="array" ref="Q281">_xlfn.IFS(P281&lt;0.2,"Stable",P281&lt;=0.5,"Moderate",P281&gt;0.5,"Highly veriable")</f>
        <v>Stable</v>
      </c>
      <c r="R281" s="1">
        <f t="shared" si="78"/>
        <v>61.024585209569437</v>
      </c>
      <c r="S281" s="1">
        <f t="shared" si="79"/>
        <v>84.72458520956944</v>
      </c>
      <c r="T281" s="1">
        <f t="shared" si="80"/>
        <v>565.27541479043055</v>
      </c>
      <c r="U281" t="str">
        <f t="shared" si="81"/>
        <v xml:space="preserve"> Safe</v>
      </c>
      <c r="V281">
        <f t="shared" si="82"/>
        <v>1692</v>
      </c>
      <c r="W281" s="9">
        <f t="shared" si="83"/>
        <v>631183.68000000005</v>
      </c>
      <c r="Y281">
        <f t="shared" si="84"/>
        <v>1.4151150692999876E-3</v>
      </c>
      <c r="Z281" s="12">
        <f t="shared" si="94"/>
        <v>0.83166981650504213</v>
      </c>
      <c r="AA281" t="str">
        <f t="shared" si="85"/>
        <v>B</v>
      </c>
      <c r="AB281" t="str">
        <f t="shared" si="86"/>
        <v>X</v>
      </c>
      <c r="AC281" t="str">
        <f t="shared" si="87"/>
        <v>BX</v>
      </c>
      <c r="AD281" t="str">
        <f t="shared" si="88"/>
        <v>Standard Control</v>
      </c>
      <c r="AE281" t="str">
        <f t="shared" si="89"/>
        <v>Weekly</v>
      </c>
      <c r="AF281" t="str">
        <f t="shared" si="90"/>
        <v>Standard Replenishment</v>
      </c>
      <c r="AG281" t="str">
        <f t="shared" si="91"/>
        <v>Low</v>
      </c>
      <c r="AH281">
        <f t="shared" si="92"/>
        <v>50</v>
      </c>
      <c r="AI281" t="str">
        <f t="shared" si="93"/>
        <v>Medium</v>
      </c>
    </row>
    <row r="282" spans="1:35">
      <c r="A282" t="s">
        <v>173</v>
      </c>
      <c r="B282" t="s">
        <v>21</v>
      </c>
      <c r="C282" t="s">
        <v>15</v>
      </c>
      <c r="D282" t="s">
        <v>16</v>
      </c>
      <c r="E282">
        <v>245</v>
      </c>
      <c r="F282">
        <v>168</v>
      </c>
      <c r="G282">
        <v>9</v>
      </c>
      <c r="H282">
        <v>11</v>
      </c>
      <c r="I282">
        <v>311.29000000000002</v>
      </c>
      <c r="J282">
        <v>7.0000000000000007E-2</v>
      </c>
      <c r="K282">
        <v>535</v>
      </c>
      <c r="L282">
        <v>0.74</v>
      </c>
      <c r="M282">
        <v>5</v>
      </c>
      <c r="N282" s="1">
        <f t="shared" si="76"/>
        <v>5.6</v>
      </c>
      <c r="O282" s="1">
        <f>N282*(1+Control_Panel!$B$2)</f>
        <v>5.6</v>
      </c>
      <c r="P282" s="12">
        <f t="shared" si="77"/>
        <v>5.3571428571428568E-2</v>
      </c>
      <c r="Q282" t="str" cm="1">
        <f t="array" ref="Q282">_xlfn.IFS(P282&lt;0.2,"Stable",P282&lt;=0.5,"Moderate",P282&gt;0.5,"Highly veriable")</f>
        <v>Stable</v>
      </c>
      <c r="R282" s="1">
        <f t="shared" si="78"/>
        <v>29.849623113198597</v>
      </c>
      <c r="S282" s="1">
        <f t="shared" si="79"/>
        <v>46.449623113198598</v>
      </c>
      <c r="T282" s="1">
        <f t="shared" si="80"/>
        <v>198.55037688680142</v>
      </c>
      <c r="U282" t="str">
        <f t="shared" si="81"/>
        <v xml:space="preserve"> Safe</v>
      </c>
      <c r="V282">
        <f t="shared" si="82"/>
        <v>2016</v>
      </c>
      <c r="W282" s="9">
        <f t="shared" si="83"/>
        <v>627560.64</v>
      </c>
      <c r="Y282">
        <f t="shared" si="84"/>
        <v>1.4069922063947289E-3</v>
      </c>
      <c r="Z282" s="12">
        <f t="shared" si="94"/>
        <v>0.83307680871143686</v>
      </c>
      <c r="AA282" t="str">
        <f t="shared" si="85"/>
        <v>B</v>
      </c>
      <c r="AB282" t="str">
        <f t="shared" si="86"/>
        <v>X</v>
      </c>
      <c r="AC282" t="str">
        <f t="shared" si="87"/>
        <v>BX</v>
      </c>
      <c r="AD282" t="str">
        <f t="shared" si="88"/>
        <v>Standard Control</v>
      </c>
      <c r="AE282" t="str">
        <f t="shared" si="89"/>
        <v>Weekly</v>
      </c>
      <c r="AF282" t="str">
        <f t="shared" si="90"/>
        <v>Standard Replenishment</v>
      </c>
      <c r="AG282" t="str">
        <f t="shared" si="91"/>
        <v>Low</v>
      </c>
      <c r="AH282">
        <f t="shared" si="92"/>
        <v>40</v>
      </c>
      <c r="AI282" t="str">
        <f t="shared" si="93"/>
        <v>Low</v>
      </c>
    </row>
    <row r="283" spans="1:35">
      <c r="A283" t="s">
        <v>300</v>
      </c>
      <c r="B283" t="s">
        <v>18</v>
      </c>
      <c r="C283" t="s">
        <v>15</v>
      </c>
      <c r="D283" t="s">
        <v>23</v>
      </c>
      <c r="E283">
        <v>193</v>
      </c>
      <c r="F283">
        <v>436</v>
      </c>
      <c r="G283">
        <v>82</v>
      </c>
      <c r="H283">
        <v>19</v>
      </c>
      <c r="I283">
        <v>119.67</v>
      </c>
      <c r="J283">
        <v>0.12</v>
      </c>
      <c r="K283">
        <v>482</v>
      </c>
      <c r="L283">
        <v>0.77</v>
      </c>
      <c r="M283">
        <v>4</v>
      </c>
      <c r="N283" s="1">
        <f t="shared" si="76"/>
        <v>14.533333333333333</v>
      </c>
      <c r="O283" s="1">
        <f>N283*(1+Control_Panel!$B$2)</f>
        <v>14.533333333333333</v>
      </c>
      <c r="P283" s="12">
        <f t="shared" si="77"/>
        <v>0.18807339449541285</v>
      </c>
      <c r="Q283" t="str" cm="1">
        <f t="array" ref="Q283">_xlfn.IFS(P283&lt;0.2,"Stable",P283&lt;=0.5,"Moderate",P283&gt;0.5,"Highly veriable")</f>
        <v>Stable</v>
      </c>
      <c r="R283" s="1">
        <f t="shared" si="78"/>
        <v>357.42971337033526</v>
      </c>
      <c r="S283" s="1">
        <f t="shared" si="79"/>
        <v>390.96304670366862</v>
      </c>
      <c r="T283" s="1">
        <f t="shared" si="80"/>
        <v>-197.96304670366862</v>
      </c>
      <c r="U283" t="str">
        <f t="shared" si="81"/>
        <v xml:space="preserve"> Need to Order</v>
      </c>
      <c r="V283">
        <f t="shared" si="82"/>
        <v>5232</v>
      </c>
      <c r="W283" s="9">
        <f t="shared" si="83"/>
        <v>626113.44000000006</v>
      </c>
      <c r="Y283">
        <f t="shared" si="84"/>
        <v>1.4037475811086459E-3</v>
      </c>
      <c r="Z283" s="12">
        <f t="shared" si="94"/>
        <v>0.83448055629254547</v>
      </c>
      <c r="AA283" t="str">
        <f t="shared" si="85"/>
        <v>B</v>
      </c>
      <c r="AB283" t="str">
        <f t="shared" si="86"/>
        <v>X</v>
      </c>
      <c r="AC283" t="str">
        <f t="shared" si="87"/>
        <v>BX</v>
      </c>
      <c r="AD283" t="str">
        <f t="shared" si="88"/>
        <v>Standard Control</v>
      </c>
      <c r="AE283" t="str">
        <f t="shared" si="89"/>
        <v>Weekly</v>
      </c>
      <c r="AF283" t="str">
        <f t="shared" si="90"/>
        <v>Standard Replenishment</v>
      </c>
      <c r="AG283" t="str">
        <f t="shared" si="91"/>
        <v>Low</v>
      </c>
      <c r="AH283">
        <f t="shared" si="92"/>
        <v>30</v>
      </c>
      <c r="AI283" t="str">
        <f t="shared" si="93"/>
        <v>Low</v>
      </c>
    </row>
    <row r="284" spans="1:35">
      <c r="A284" t="s">
        <v>354</v>
      </c>
      <c r="B284" t="s">
        <v>29</v>
      </c>
      <c r="C284" t="s">
        <v>15</v>
      </c>
      <c r="D284" t="s">
        <v>19</v>
      </c>
      <c r="E284">
        <v>88</v>
      </c>
      <c r="F284">
        <v>146</v>
      </c>
      <c r="G284">
        <v>80</v>
      </c>
      <c r="H284">
        <v>5</v>
      </c>
      <c r="I284">
        <v>356.36</v>
      </c>
      <c r="J284">
        <v>0.23</v>
      </c>
      <c r="K284">
        <v>433</v>
      </c>
      <c r="L284">
        <v>0.81</v>
      </c>
      <c r="M284">
        <v>5</v>
      </c>
      <c r="N284" s="1">
        <f t="shared" si="76"/>
        <v>4.8666666666666663</v>
      </c>
      <c r="O284" s="1">
        <f>N284*(1+Control_Panel!$B$2)</f>
        <v>4.8666666666666663</v>
      </c>
      <c r="P284" s="12">
        <f t="shared" si="77"/>
        <v>0.54794520547945202</v>
      </c>
      <c r="Q284" t="str" cm="1">
        <f t="array" ref="Q284">_xlfn.IFS(P284&lt;0.2,"Stable",P284&lt;=0.5,"Moderate",P284&gt;0.5,"Highly veriable")</f>
        <v>Highly veriable</v>
      </c>
      <c r="R284" s="1">
        <f t="shared" si="78"/>
        <v>178.88543819998318</v>
      </c>
      <c r="S284" s="1">
        <f t="shared" si="79"/>
        <v>188.75210486664986</v>
      </c>
      <c r="T284" s="1">
        <f t="shared" si="80"/>
        <v>-100.75210486664986</v>
      </c>
      <c r="U284" t="str">
        <f t="shared" si="81"/>
        <v xml:space="preserve"> Need to Order</v>
      </c>
      <c r="V284">
        <f t="shared" si="82"/>
        <v>1752</v>
      </c>
      <c r="W284" s="9">
        <f t="shared" si="83"/>
        <v>624342.72</v>
      </c>
      <c r="Y284">
        <f t="shared" si="84"/>
        <v>1.399777623337382E-3</v>
      </c>
      <c r="Z284" s="12">
        <f t="shared" si="94"/>
        <v>0.8358803339158829</v>
      </c>
      <c r="AA284" t="str">
        <f t="shared" si="85"/>
        <v>B</v>
      </c>
      <c r="AB284" t="str">
        <f t="shared" si="86"/>
        <v>Z</v>
      </c>
      <c r="AC284" t="str">
        <f t="shared" si="87"/>
        <v>BZ</v>
      </c>
      <c r="AD284" t="str">
        <f t="shared" si="88"/>
        <v>Risk Monitoring</v>
      </c>
      <c r="AE284" t="str">
        <f t="shared" si="89"/>
        <v>Weekly Risk Review</v>
      </c>
      <c r="AF284" t="str">
        <f t="shared" si="90"/>
        <v>Monitor Demand Variability</v>
      </c>
      <c r="AG284" t="str">
        <f t="shared" si="91"/>
        <v>Medium</v>
      </c>
      <c r="AH284">
        <f t="shared" si="92"/>
        <v>40</v>
      </c>
      <c r="AI284" t="str">
        <f t="shared" si="93"/>
        <v>Low</v>
      </c>
    </row>
    <row r="285" spans="1:35">
      <c r="A285" t="s">
        <v>368</v>
      </c>
      <c r="B285" t="s">
        <v>34</v>
      </c>
      <c r="C285" t="s">
        <v>22</v>
      </c>
      <c r="D285" t="s">
        <v>41</v>
      </c>
      <c r="E285">
        <v>931</v>
      </c>
      <c r="F285">
        <v>257</v>
      </c>
      <c r="G285">
        <v>18</v>
      </c>
      <c r="H285">
        <v>9</v>
      </c>
      <c r="I285">
        <v>199.26</v>
      </c>
      <c r="J285">
        <v>0.19</v>
      </c>
      <c r="K285">
        <v>264</v>
      </c>
      <c r="L285">
        <v>0.93</v>
      </c>
      <c r="M285">
        <v>1</v>
      </c>
      <c r="N285" s="1">
        <f t="shared" si="76"/>
        <v>8.5666666666666664</v>
      </c>
      <c r="O285" s="1">
        <f>N285*(1+Control_Panel!$B$2)</f>
        <v>8.5666666666666664</v>
      </c>
      <c r="P285" s="12">
        <f t="shared" si="77"/>
        <v>7.0038910505836577E-2</v>
      </c>
      <c r="Q285" t="str" cm="1">
        <f t="array" ref="Q285">_xlfn.IFS(P285&lt;0.2,"Stable",P285&lt;=0.5,"Moderate",P285&gt;0.5,"Highly veriable")</f>
        <v>Stable</v>
      </c>
      <c r="R285" s="1">
        <f t="shared" si="78"/>
        <v>54</v>
      </c>
      <c r="S285" s="1">
        <f t="shared" si="79"/>
        <v>71.566666666666663</v>
      </c>
      <c r="T285" s="1">
        <f t="shared" si="80"/>
        <v>859.43333333333339</v>
      </c>
      <c r="U285" t="str">
        <f t="shared" si="81"/>
        <v xml:space="preserve"> Safe</v>
      </c>
      <c r="V285">
        <f t="shared" si="82"/>
        <v>3084</v>
      </c>
      <c r="W285" s="9">
        <f t="shared" si="83"/>
        <v>614517.84</v>
      </c>
      <c r="Y285">
        <f t="shared" si="84"/>
        <v>1.3777502227840849E-3</v>
      </c>
      <c r="Z285" s="12">
        <f t="shared" si="94"/>
        <v>0.83725808413866698</v>
      </c>
      <c r="AA285" t="str">
        <f t="shared" si="85"/>
        <v>B</v>
      </c>
      <c r="AB285" t="str">
        <f t="shared" si="86"/>
        <v>X</v>
      </c>
      <c r="AC285" t="str">
        <f t="shared" si="87"/>
        <v>BX</v>
      </c>
      <c r="AD285" t="str">
        <f t="shared" si="88"/>
        <v>Standard Control</v>
      </c>
      <c r="AE285" t="str">
        <f t="shared" si="89"/>
        <v>Weekly</v>
      </c>
      <c r="AF285" t="str">
        <f t="shared" si="90"/>
        <v>Standard Replenishment</v>
      </c>
      <c r="AG285" t="str">
        <f t="shared" si="91"/>
        <v>Low</v>
      </c>
      <c r="AH285">
        <f t="shared" si="92"/>
        <v>30</v>
      </c>
      <c r="AI285" t="str">
        <f t="shared" si="93"/>
        <v>Low</v>
      </c>
    </row>
    <row r="286" spans="1:35">
      <c r="A286" t="s">
        <v>229</v>
      </c>
      <c r="B286" t="s">
        <v>38</v>
      </c>
      <c r="C286" t="s">
        <v>15</v>
      </c>
      <c r="D286" t="s">
        <v>23</v>
      </c>
      <c r="E286">
        <v>833</v>
      </c>
      <c r="F286">
        <v>137</v>
      </c>
      <c r="G286">
        <v>6</v>
      </c>
      <c r="H286">
        <v>12</v>
      </c>
      <c r="I286">
        <v>368.63</v>
      </c>
      <c r="J286">
        <v>0.25</v>
      </c>
      <c r="K286">
        <v>178</v>
      </c>
      <c r="L286">
        <v>0.81</v>
      </c>
      <c r="M286">
        <v>1</v>
      </c>
      <c r="N286" s="1">
        <f t="shared" si="76"/>
        <v>4.5666666666666664</v>
      </c>
      <c r="O286" s="1">
        <f>N286*(1+Control_Panel!$B$2)</f>
        <v>4.5666666666666664</v>
      </c>
      <c r="P286" s="12">
        <f t="shared" si="77"/>
        <v>4.3795620437956206E-2</v>
      </c>
      <c r="Q286" t="str" cm="1">
        <f t="array" ref="Q286">_xlfn.IFS(P286&lt;0.2,"Stable",P286&lt;=0.5,"Moderate",P286&gt;0.5,"Highly veriable")</f>
        <v>Stable</v>
      </c>
      <c r="R286" s="1">
        <f t="shared" si="78"/>
        <v>20.784609690826528</v>
      </c>
      <c r="S286" s="1">
        <f t="shared" si="79"/>
        <v>37.351276357493191</v>
      </c>
      <c r="T286" s="1">
        <f t="shared" si="80"/>
        <v>795.64872364250687</v>
      </c>
      <c r="U286" t="str">
        <f t="shared" si="81"/>
        <v xml:space="preserve"> Safe</v>
      </c>
      <c r="V286">
        <f t="shared" si="82"/>
        <v>1644</v>
      </c>
      <c r="W286" s="9">
        <f t="shared" si="83"/>
        <v>606027.72</v>
      </c>
      <c r="Y286">
        <f t="shared" si="84"/>
        <v>1.3587153568126371E-3</v>
      </c>
      <c r="Z286" s="12">
        <f t="shared" si="94"/>
        <v>0.83861679949547963</v>
      </c>
      <c r="AA286" t="str">
        <f t="shared" si="85"/>
        <v>B</v>
      </c>
      <c r="AB286" t="str">
        <f t="shared" si="86"/>
        <v>X</v>
      </c>
      <c r="AC286" t="str">
        <f t="shared" si="87"/>
        <v>BX</v>
      </c>
      <c r="AD286" t="str">
        <f t="shared" si="88"/>
        <v>Standard Control</v>
      </c>
      <c r="AE286" t="str">
        <f t="shared" si="89"/>
        <v>Weekly</v>
      </c>
      <c r="AF286" t="str">
        <f t="shared" si="90"/>
        <v>Standard Replenishment</v>
      </c>
      <c r="AG286" t="str">
        <f t="shared" si="91"/>
        <v>Low</v>
      </c>
      <c r="AH286">
        <f t="shared" si="92"/>
        <v>30</v>
      </c>
      <c r="AI286" t="str">
        <f t="shared" si="93"/>
        <v>Low</v>
      </c>
    </row>
    <row r="287" spans="1:35">
      <c r="A287" t="s">
        <v>183</v>
      </c>
      <c r="B287" t="s">
        <v>21</v>
      </c>
      <c r="C287" t="s">
        <v>15</v>
      </c>
      <c r="D287" t="s">
        <v>19</v>
      </c>
      <c r="E287">
        <v>230</v>
      </c>
      <c r="F287">
        <v>171</v>
      </c>
      <c r="G287">
        <v>10</v>
      </c>
      <c r="H287">
        <v>21</v>
      </c>
      <c r="I287">
        <v>293.64</v>
      </c>
      <c r="J287">
        <v>0.1</v>
      </c>
      <c r="K287">
        <v>825</v>
      </c>
      <c r="L287">
        <v>0.9</v>
      </c>
      <c r="M287">
        <v>3</v>
      </c>
      <c r="N287" s="1">
        <f t="shared" si="76"/>
        <v>5.7</v>
      </c>
      <c r="O287" s="1">
        <f>N287*(1+Control_Panel!$B$2)</f>
        <v>5.7</v>
      </c>
      <c r="P287" s="12">
        <f t="shared" si="77"/>
        <v>5.8479532163742687E-2</v>
      </c>
      <c r="Q287" t="str" cm="1">
        <f t="array" ref="Q287">_xlfn.IFS(P287&lt;0.2,"Stable",P287&lt;=0.5,"Moderate",P287&gt;0.5,"Highly veriable")</f>
        <v>Stable</v>
      </c>
      <c r="R287" s="1">
        <f t="shared" si="78"/>
        <v>45.825756949558397</v>
      </c>
      <c r="S287" s="1">
        <f t="shared" si="79"/>
        <v>72.525756949558399</v>
      </c>
      <c r="T287" s="1">
        <f t="shared" si="80"/>
        <v>157.4742430504416</v>
      </c>
      <c r="U287" t="str">
        <f t="shared" si="81"/>
        <v xml:space="preserve"> Safe</v>
      </c>
      <c r="V287">
        <f t="shared" si="82"/>
        <v>2052</v>
      </c>
      <c r="W287" s="9">
        <f t="shared" si="83"/>
        <v>602549.28</v>
      </c>
      <c r="Y287">
        <f t="shared" si="84"/>
        <v>1.3509166873957477E-3</v>
      </c>
      <c r="Z287" s="12">
        <f t="shared" si="94"/>
        <v>0.83996771618287536</v>
      </c>
      <c r="AA287" t="str">
        <f t="shared" si="85"/>
        <v>B</v>
      </c>
      <c r="AB287" t="str">
        <f t="shared" si="86"/>
        <v>X</v>
      </c>
      <c r="AC287" t="str">
        <f t="shared" si="87"/>
        <v>BX</v>
      </c>
      <c r="AD287" t="str">
        <f t="shared" si="88"/>
        <v>Standard Control</v>
      </c>
      <c r="AE287" t="str">
        <f t="shared" si="89"/>
        <v>Weekly</v>
      </c>
      <c r="AF287" t="str">
        <f t="shared" si="90"/>
        <v>Standard Replenishment</v>
      </c>
      <c r="AG287" t="str">
        <f t="shared" si="91"/>
        <v>Low</v>
      </c>
      <c r="AH287">
        <f t="shared" si="92"/>
        <v>30</v>
      </c>
      <c r="AI287" t="str">
        <f t="shared" si="93"/>
        <v>Low</v>
      </c>
    </row>
    <row r="288" spans="1:35">
      <c r="A288" t="s">
        <v>293</v>
      </c>
      <c r="B288" t="s">
        <v>40</v>
      </c>
      <c r="C288" t="s">
        <v>22</v>
      </c>
      <c r="D288" t="s">
        <v>23</v>
      </c>
      <c r="E288">
        <v>462</v>
      </c>
      <c r="F288">
        <v>274</v>
      </c>
      <c r="G288">
        <v>23</v>
      </c>
      <c r="H288">
        <v>26</v>
      </c>
      <c r="I288">
        <v>182.3</v>
      </c>
      <c r="J288">
        <v>0.13</v>
      </c>
      <c r="K288">
        <v>975</v>
      </c>
      <c r="L288">
        <v>0.72</v>
      </c>
      <c r="M288">
        <v>2</v>
      </c>
      <c r="N288" s="1">
        <f t="shared" si="76"/>
        <v>9.1333333333333329</v>
      </c>
      <c r="O288" s="1">
        <f>N288*(1+Control_Panel!$B$2)</f>
        <v>9.1333333333333329</v>
      </c>
      <c r="P288" s="12">
        <f t="shared" si="77"/>
        <v>8.3941605839416053E-2</v>
      </c>
      <c r="Q288" t="str" cm="1">
        <f t="array" ref="Q288">_xlfn.IFS(P288&lt;0.2,"Stable",P288&lt;=0.5,"Moderate",P288&gt;0.5,"Highly veriable")</f>
        <v>Stable</v>
      </c>
      <c r="R288" s="1">
        <f t="shared" si="78"/>
        <v>117.27744881263405</v>
      </c>
      <c r="S288" s="1">
        <f t="shared" si="79"/>
        <v>152.41078214596737</v>
      </c>
      <c r="T288" s="1">
        <f t="shared" si="80"/>
        <v>309.58921785403265</v>
      </c>
      <c r="U288" t="str">
        <f t="shared" si="81"/>
        <v xml:space="preserve"> Safe</v>
      </c>
      <c r="V288">
        <f t="shared" si="82"/>
        <v>3288</v>
      </c>
      <c r="W288" s="9">
        <f t="shared" si="83"/>
        <v>599402.4</v>
      </c>
      <c r="Y288">
        <f t="shared" si="84"/>
        <v>1.3438613761600725E-3</v>
      </c>
      <c r="Z288" s="12">
        <f t="shared" si="94"/>
        <v>0.84131157755903541</v>
      </c>
      <c r="AA288" t="str">
        <f t="shared" si="85"/>
        <v>B</v>
      </c>
      <c r="AB288" t="str">
        <f t="shared" si="86"/>
        <v>X</v>
      </c>
      <c r="AC288" t="str">
        <f t="shared" si="87"/>
        <v>BX</v>
      </c>
      <c r="AD288" t="str">
        <f t="shared" si="88"/>
        <v>Standard Control</v>
      </c>
      <c r="AE288" t="str">
        <f t="shared" si="89"/>
        <v>Weekly</v>
      </c>
      <c r="AF288" t="str">
        <f t="shared" si="90"/>
        <v>Standard Replenishment</v>
      </c>
      <c r="AG288" t="str">
        <f t="shared" si="91"/>
        <v>Low</v>
      </c>
      <c r="AH288">
        <f t="shared" si="92"/>
        <v>30</v>
      </c>
      <c r="AI288" t="str">
        <f t="shared" si="93"/>
        <v>Low</v>
      </c>
    </row>
    <row r="289" spans="1:35">
      <c r="A289" t="s">
        <v>364</v>
      </c>
      <c r="B289" t="s">
        <v>14</v>
      </c>
      <c r="C289" t="s">
        <v>22</v>
      </c>
      <c r="D289" t="s">
        <v>25</v>
      </c>
      <c r="E289">
        <v>129</v>
      </c>
      <c r="F289">
        <v>385</v>
      </c>
      <c r="G289">
        <v>19</v>
      </c>
      <c r="H289">
        <v>9</v>
      </c>
      <c r="I289">
        <v>128.82</v>
      </c>
      <c r="J289">
        <v>0.14000000000000001</v>
      </c>
      <c r="K289">
        <v>284</v>
      </c>
      <c r="L289">
        <v>0.86</v>
      </c>
      <c r="M289">
        <v>2</v>
      </c>
      <c r="N289" s="1">
        <f t="shared" si="76"/>
        <v>12.833333333333334</v>
      </c>
      <c r="O289" s="1">
        <f>N289*(1+Control_Panel!$B$2)</f>
        <v>12.833333333333334</v>
      </c>
      <c r="P289" s="12">
        <f t="shared" si="77"/>
        <v>4.9350649350649353E-2</v>
      </c>
      <c r="Q289" t="str" cm="1">
        <f t="array" ref="Q289">_xlfn.IFS(P289&lt;0.2,"Stable",P289&lt;=0.5,"Moderate",P289&gt;0.5,"Highly veriable")</f>
        <v>Stable</v>
      </c>
      <c r="R289" s="1">
        <f t="shared" si="78"/>
        <v>57</v>
      </c>
      <c r="S289" s="1">
        <f t="shared" si="79"/>
        <v>78.833333333333343</v>
      </c>
      <c r="T289" s="1">
        <f t="shared" si="80"/>
        <v>50.166666666666657</v>
      </c>
      <c r="U289" t="str">
        <f t="shared" si="81"/>
        <v xml:space="preserve"> Risk</v>
      </c>
      <c r="V289">
        <f t="shared" si="82"/>
        <v>4620</v>
      </c>
      <c r="W289" s="9">
        <f t="shared" si="83"/>
        <v>595148.4</v>
      </c>
      <c r="Y289">
        <f t="shared" si="84"/>
        <v>1.33432389967652E-3</v>
      </c>
      <c r="Z289" s="12">
        <f t="shared" si="94"/>
        <v>0.84264590145871188</v>
      </c>
      <c r="AA289" t="str">
        <f t="shared" si="85"/>
        <v>B</v>
      </c>
      <c r="AB289" t="str">
        <f t="shared" si="86"/>
        <v>X</v>
      </c>
      <c r="AC289" t="str">
        <f t="shared" si="87"/>
        <v>BX</v>
      </c>
      <c r="AD289" t="str">
        <f t="shared" si="88"/>
        <v>Standard Control</v>
      </c>
      <c r="AE289" t="str">
        <f t="shared" si="89"/>
        <v>Weekly</v>
      </c>
      <c r="AF289" t="str">
        <f t="shared" si="90"/>
        <v>Standard Replenishment</v>
      </c>
      <c r="AG289" t="str">
        <f t="shared" si="91"/>
        <v>Low</v>
      </c>
      <c r="AH289">
        <f t="shared" si="92"/>
        <v>30</v>
      </c>
      <c r="AI289" t="str">
        <f t="shared" si="93"/>
        <v>Low</v>
      </c>
    </row>
    <row r="290" spans="1:35">
      <c r="A290" t="s">
        <v>195</v>
      </c>
      <c r="B290" t="s">
        <v>38</v>
      </c>
      <c r="C290" t="s">
        <v>22</v>
      </c>
      <c r="D290" t="s">
        <v>16</v>
      </c>
      <c r="E290">
        <v>892</v>
      </c>
      <c r="F290">
        <v>259</v>
      </c>
      <c r="G290">
        <v>65</v>
      </c>
      <c r="H290">
        <v>24</v>
      </c>
      <c r="I290">
        <v>191.03</v>
      </c>
      <c r="J290">
        <v>0.08</v>
      </c>
      <c r="K290">
        <v>738</v>
      </c>
      <c r="L290">
        <v>0.81</v>
      </c>
      <c r="M290">
        <v>6</v>
      </c>
      <c r="N290" s="1">
        <f t="shared" si="76"/>
        <v>8.6333333333333329</v>
      </c>
      <c r="O290" s="1">
        <f>N290*(1+Control_Panel!$B$2)</f>
        <v>8.6333333333333329</v>
      </c>
      <c r="P290" s="12">
        <f t="shared" si="77"/>
        <v>0.25096525096525096</v>
      </c>
      <c r="Q290" t="str" cm="1">
        <f t="array" ref="Q290">_xlfn.IFS(P290&lt;0.2,"Stable",P290&lt;=0.5,"Moderate",P290&gt;0.5,"Highly veriable")</f>
        <v>Moderate</v>
      </c>
      <c r="R290" s="1">
        <f t="shared" si="78"/>
        <v>318.43366656181314</v>
      </c>
      <c r="S290" s="1">
        <f t="shared" si="79"/>
        <v>351.06699989514647</v>
      </c>
      <c r="T290" s="1">
        <f t="shared" si="80"/>
        <v>540.93300010485359</v>
      </c>
      <c r="U290" t="str">
        <f t="shared" si="81"/>
        <v xml:space="preserve"> Safe</v>
      </c>
      <c r="V290">
        <f t="shared" si="82"/>
        <v>3108</v>
      </c>
      <c r="W290" s="9">
        <f t="shared" si="83"/>
        <v>593721.24</v>
      </c>
      <c r="Y290">
        <f t="shared" si="84"/>
        <v>1.3311242041104017E-3</v>
      </c>
      <c r="Z290" s="12">
        <f t="shared" si="94"/>
        <v>0.84397702566282229</v>
      </c>
      <c r="AA290" t="str">
        <f t="shared" si="85"/>
        <v>B</v>
      </c>
      <c r="AB290" t="str">
        <f t="shared" si="86"/>
        <v>Y</v>
      </c>
      <c r="AC290" t="str">
        <f t="shared" si="87"/>
        <v>BY</v>
      </c>
      <c r="AD290" t="str">
        <f t="shared" si="88"/>
        <v>Periodic Review</v>
      </c>
      <c r="AE290" t="str">
        <f t="shared" si="89"/>
        <v>Bi-Weekly</v>
      </c>
      <c r="AF290" t="str">
        <f t="shared" si="90"/>
        <v>Periodic Review</v>
      </c>
      <c r="AG290" t="str">
        <f t="shared" si="91"/>
        <v>Low</v>
      </c>
      <c r="AH290">
        <f t="shared" si="92"/>
        <v>40</v>
      </c>
      <c r="AI290" t="str">
        <f t="shared" si="93"/>
        <v>Low</v>
      </c>
    </row>
    <row r="291" spans="1:35">
      <c r="A291" t="s">
        <v>489</v>
      </c>
      <c r="B291" t="s">
        <v>34</v>
      </c>
      <c r="C291" t="s">
        <v>22</v>
      </c>
      <c r="D291" t="s">
        <v>16</v>
      </c>
      <c r="E291">
        <v>291</v>
      </c>
      <c r="F291">
        <v>137</v>
      </c>
      <c r="G291">
        <v>88</v>
      </c>
      <c r="H291">
        <v>6</v>
      </c>
      <c r="I291">
        <v>360.57</v>
      </c>
      <c r="J291">
        <v>0.23</v>
      </c>
      <c r="K291">
        <v>302</v>
      </c>
      <c r="L291">
        <v>0.8</v>
      </c>
      <c r="M291">
        <v>4</v>
      </c>
      <c r="N291" s="1">
        <f t="shared" si="76"/>
        <v>4.5666666666666664</v>
      </c>
      <c r="O291" s="1">
        <f>N291*(1+Control_Panel!$B$2)</f>
        <v>4.5666666666666664</v>
      </c>
      <c r="P291" s="12">
        <f t="shared" si="77"/>
        <v>0.64233576642335766</v>
      </c>
      <c r="Q291" t="str" cm="1">
        <f t="array" ref="Q291">_xlfn.IFS(P291&lt;0.2,"Stable",P291&lt;=0.5,"Moderate",P291&gt;0.5,"Highly veriable")</f>
        <v>Highly veriable</v>
      </c>
      <c r="R291" s="1">
        <f t="shared" si="78"/>
        <v>215.55509736491965</v>
      </c>
      <c r="S291" s="1">
        <f t="shared" si="79"/>
        <v>226.12176403158631</v>
      </c>
      <c r="T291" s="1">
        <f t="shared" si="80"/>
        <v>64.878235968413691</v>
      </c>
      <c r="U291" t="str">
        <f t="shared" si="81"/>
        <v xml:space="preserve"> Risk</v>
      </c>
      <c r="V291">
        <f t="shared" si="82"/>
        <v>1644</v>
      </c>
      <c r="W291" s="9">
        <f t="shared" si="83"/>
        <v>592777.07999999996</v>
      </c>
      <c r="Y291">
        <f t="shared" si="84"/>
        <v>1.3290073955075077E-3</v>
      </c>
      <c r="Z291" s="12">
        <f t="shared" si="94"/>
        <v>0.84530603305832974</v>
      </c>
      <c r="AA291" t="str">
        <f t="shared" si="85"/>
        <v>B</v>
      </c>
      <c r="AB291" t="str">
        <f t="shared" si="86"/>
        <v>Z</v>
      </c>
      <c r="AC291" t="str">
        <f t="shared" si="87"/>
        <v>BZ</v>
      </c>
      <c r="AD291" t="str">
        <f t="shared" si="88"/>
        <v>Risk Monitoring</v>
      </c>
      <c r="AE291" t="str">
        <f t="shared" si="89"/>
        <v>Weekly Risk Review</v>
      </c>
      <c r="AF291" t="str">
        <f t="shared" si="90"/>
        <v>Monitor Demand Variability</v>
      </c>
      <c r="AG291" t="str">
        <f t="shared" si="91"/>
        <v>Medium</v>
      </c>
      <c r="AH291">
        <f t="shared" si="92"/>
        <v>30</v>
      </c>
      <c r="AI291" t="str">
        <f t="shared" si="93"/>
        <v>Low</v>
      </c>
    </row>
    <row r="292" spans="1:35">
      <c r="A292" t="s">
        <v>145</v>
      </c>
      <c r="B292" t="s">
        <v>40</v>
      </c>
      <c r="C292" t="s">
        <v>15</v>
      </c>
      <c r="D292" t="s">
        <v>23</v>
      </c>
      <c r="E292">
        <v>119</v>
      </c>
      <c r="F292">
        <v>260</v>
      </c>
      <c r="G292">
        <v>30</v>
      </c>
      <c r="H292">
        <v>10</v>
      </c>
      <c r="I292">
        <v>189.58</v>
      </c>
      <c r="J292">
        <v>0.25</v>
      </c>
      <c r="K292">
        <v>881</v>
      </c>
      <c r="L292">
        <v>0.99</v>
      </c>
      <c r="M292">
        <v>1</v>
      </c>
      <c r="N292" s="1">
        <f t="shared" si="76"/>
        <v>8.6666666666666661</v>
      </c>
      <c r="O292" s="1">
        <f>N292*(1+Control_Panel!$B$2)</f>
        <v>8.6666666666666661</v>
      </c>
      <c r="P292" s="12">
        <f t="shared" si="77"/>
        <v>0.11538461538461539</v>
      </c>
      <c r="Q292" t="str" cm="1">
        <f t="array" ref="Q292">_xlfn.IFS(P292&lt;0.2,"Stable",P292&lt;=0.5,"Moderate",P292&gt;0.5,"Highly veriable")</f>
        <v>Stable</v>
      </c>
      <c r="R292" s="1">
        <f t="shared" si="78"/>
        <v>94.868329805051388</v>
      </c>
      <c r="S292" s="1">
        <f t="shared" si="79"/>
        <v>113.53499647171805</v>
      </c>
      <c r="T292" s="1">
        <f t="shared" si="80"/>
        <v>5.4650035282819545</v>
      </c>
      <c r="U292" t="str">
        <f t="shared" si="81"/>
        <v xml:space="preserve"> Risk</v>
      </c>
      <c r="V292">
        <f t="shared" si="82"/>
        <v>3120</v>
      </c>
      <c r="W292" s="9">
        <f t="shared" si="83"/>
        <v>591489.60000000009</v>
      </c>
      <c r="Y292">
        <f t="shared" si="84"/>
        <v>1.326120862779947E-3</v>
      </c>
      <c r="Z292" s="12">
        <f t="shared" si="94"/>
        <v>0.84663215392110969</v>
      </c>
      <c r="AA292" t="str">
        <f t="shared" si="85"/>
        <v>B</v>
      </c>
      <c r="AB292" t="str">
        <f t="shared" si="86"/>
        <v>X</v>
      </c>
      <c r="AC292" t="str">
        <f t="shared" si="87"/>
        <v>BX</v>
      </c>
      <c r="AD292" t="str">
        <f t="shared" si="88"/>
        <v>Standard Control</v>
      </c>
      <c r="AE292" t="str">
        <f t="shared" si="89"/>
        <v>Weekly</v>
      </c>
      <c r="AF292" t="str">
        <f t="shared" si="90"/>
        <v>Standard Replenishment</v>
      </c>
      <c r="AG292" t="str">
        <f t="shared" si="91"/>
        <v>Low</v>
      </c>
      <c r="AH292">
        <f t="shared" si="92"/>
        <v>30</v>
      </c>
      <c r="AI292" t="str">
        <f t="shared" si="93"/>
        <v>Low</v>
      </c>
    </row>
    <row r="293" spans="1:35">
      <c r="A293" t="s">
        <v>129</v>
      </c>
      <c r="B293" t="s">
        <v>34</v>
      </c>
      <c r="C293" t="s">
        <v>15</v>
      </c>
      <c r="D293" t="s">
        <v>41</v>
      </c>
      <c r="E293">
        <v>890</v>
      </c>
      <c r="F293">
        <v>335</v>
      </c>
      <c r="G293">
        <v>41</v>
      </c>
      <c r="H293">
        <v>27</v>
      </c>
      <c r="I293">
        <v>147.06</v>
      </c>
      <c r="J293">
        <v>0.14000000000000001</v>
      </c>
      <c r="K293">
        <v>184</v>
      </c>
      <c r="L293">
        <v>0.93</v>
      </c>
      <c r="M293">
        <v>2</v>
      </c>
      <c r="N293" s="1">
        <f t="shared" si="76"/>
        <v>11.166666666666666</v>
      </c>
      <c r="O293" s="1">
        <f>N293*(1+Control_Panel!$B$2)</f>
        <v>11.166666666666666</v>
      </c>
      <c r="P293" s="12">
        <f t="shared" si="77"/>
        <v>0.12238805970149254</v>
      </c>
      <c r="Q293" t="str" cm="1">
        <f t="array" ref="Q293">_xlfn.IFS(P293&lt;0.2,"Stable",P293&lt;=0.5,"Moderate",P293&gt;0.5,"Highly veriable")</f>
        <v>Stable</v>
      </c>
      <c r="R293" s="1">
        <f t="shared" si="78"/>
        <v>213.04224933097191</v>
      </c>
      <c r="S293" s="1">
        <f t="shared" si="79"/>
        <v>251.20891599763857</v>
      </c>
      <c r="T293" s="1">
        <f t="shared" si="80"/>
        <v>638.79108400236146</v>
      </c>
      <c r="U293" t="str">
        <f t="shared" si="81"/>
        <v xml:space="preserve"> Safe</v>
      </c>
      <c r="V293">
        <f t="shared" si="82"/>
        <v>4020</v>
      </c>
      <c r="W293" s="9">
        <f t="shared" si="83"/>
        <v>591181.19999999995</v>
      </c>
      <c r="Y293">
        <f t="shared" si="84"/>
        <v>1.3254294293649192E-3</v>
      </c>
      <c r="Z293" s="12">
        <f t="shared" si="94"/>
        <v>0.84795758335047455</v>
      </c>
      <c r="AA293" t="str">
        <f t="shared" si="85"/>
        <v>B</v>
      </c>
      <c r="AB293" t="str">
        <f t="shared" si="86"/>
        <v>X</v>
      </c>
      <c r="AC293" t="str">
        <f t="shared" si="87"/>
        <v>BX</v>
      </c>
      <c r="AD293" t="str">
        <f t="shared" si="88"/>
        <v>Standard Control</v>
      </c>
      <c r="AE293" t="str">
        <f t="shared" si="89"/>
        <v>Weekly</v>
      </c>
      <c r="AF293" t="str">
        <f t="shared" si="90"/>
        <v>Standard Replenishment</v>
      </c>
      <c r="AG293" t="str">
        <f t="shared" si="91"/>
        <v>Low</v>
      </c>
      <c r="AH293">
        <f t="shared" si="92"/>
        <v>30</v>
      </c>
      <c r="AI293" t="str">
        <f t="shared" si="93"/>
        <v>Low</v>
      </c>
    </row>
    <row r="294" spans="1:35">
      <c r="A294" t="s">
        <v>351</v>
      </c>
      <c r="B294" t="s">
        <v>21</v>
      </c>
      <c r="C294" t="s">
        <v>15</v>
      </c>
      <c r="D294" t="s">
        <v>25</v>
      </c>
      <c r="E294">
        <v>476</v>
      </c>
      <c r="F294">
        <v>219</v>
      </c>
      <c r="G294">
        <v>74</v>
      </c>
      <c r="H294">
        <v>2</v>
      </c>
      <c r="I294">
        <v>223.56</v>
      </c>
      <c r="J294">
        <v>0.09</v>
      </c>
      <c r="K294">
        <v>159</v>
      </c>
      <c r="L294">
        <v>0.78</v>
      </c>
      <c r="M294">
        <v>1</v>
      </c>
      <c r="N294" s="1">
        <f t="shared" si="76"/>
        <v>7.3</v>
      </c>
      <c r="O294" s="1">
        <f>N294*(1+Control_Panel!$B$2)</f>
        <v>7.3</v>
      </c>
      <c r="P294" s="12">
        <f t="shared" si="77"/>
        <v>0.33789954337899542</v>
      </c>
      <c r="Q294" t="str" cm="1">
        <f t="array" ref="Q294">_xlfn.IFS(P294&lt;0.2,"Stable",P294&lt;=0.5,"Moderate",P294&gt;0.5,"Highly veriable")</f>
        <v>Moderate</v>
      </c>
      <c r="R294" s="1">
        <f t="shared" si="78"/>
        <v>104.65180361560904</v>
      </c>
      <c r="S294" s="1">
        <f t="shared" si="79"/>
        <v>113.95180361560904</v>
      </c>
      <c r="T294" s="1">
        <f t="shared" si="80"/>
        <v>362.04819638439096</v>
      </c>
      <c r="U294" t="str">
        <f t="shared" si="81"/>
        <v xml:space="preserve"> Safe</v>
      </c>
      <c r="V294">
        <f t="shared" si="82"/>
        <v>2628</v>
      </c>
      <c r="W294" s="9">
        <f t="shared" si="83"/>
        <v>587515.68000000005</v>
      </c>
      <c r="Y294">
        <f t="shared" si="84"/>
        <v>1.3172113262149448E-3</v>
      </c>
      <c r="Z294" s="12">
        <f t="shared" si="94"/>
        <v>0.84927479467668954</v>
      </c>
      <c r="AA294" t="str">
        <f t="shared" si="85"/>
        <v>B</v>
      </c>
      <c r="AB294" t="str">
        <f t="shared" si="86"/>
        <v>Y</v>
      </c>
      <c r="AC294" t="str">
        <f t="shared" si="87"/>
        <v>BY</v>
      </c>
      <c r="AD294" t="str">
        <f t="shared" si="88"/>
        <v>Periodic Review</v>
      </c>
      <c r="AE294" t="str">
        <f t="shared" si="89"/>
        <v>Bi-Weekly</v>
      </c>
      <c r="AF294" t="str">
        <f t="shared" si="90"/>
        <v>Periodic Review</v>
      </c>
      <c r="AG294" t="str">
        <f t="shared" si="91"/>
        <v>Low</v>
      </c>
      <c r="AH294">
        <f t="shared" si="92"/>
        <v>30</v>
      </c>
      <c r="AI294" t="str">
        <f t="shared" si="93"/>
        <v>Low</v>
      </c>
    </row>
    <row r="295" spans="1:35">
      <c r="A295" t="s">
        <v>421</v>
      </c>
      <c r="B295" t="s">
        <v>36</v>
      </c>
      <c r="C295" t="s">
        <v>15</v>
      </c>
      <c r="D295" t="s">
        <v>23</v>
      </c>
      <c r="E295">
        <v>756</v>
      </c>
      <c r="F295">
        <v>140</v>
      </c>
      <c r="G295">
        <v>49</v>
      </c>
      <c r="H295">
        <v>1</v>
      </c>
      <c r="I295">
        <v>348.12</v>
      </c>
      <c r="J295">
        <v>0.19</v>
      </c>
      <c r="K295">
        <v>278</v>
      </c>
      <c r="L295">
        <v>0.9</v>
      </c>
      <c r="M295">
        <v>4</v>
      </c>
      <c r="N295" s="1">
        <f t="shared" si="76"/>
        <v>4.666666666666667</v>
      </c>
      <c r="O295" s="1">
        <f>N295*(1+Control_Panel!$B$2)</f>
        <v>4.666666666666667</v>
      </c>
      <c r="P295" s="12">
        <f t="shared" si="77"/>
        <v>0.35</v>
      </c>
      <c r="Q295" t="str" cm="1">
        <f t="array" ref="Q295">_xlfn.IFS(P295&lt;0.2,"Stable",P295&lt;=0.5,"Moderate",P295&gt;0.5,"Highly veriable")</f>
        <v>Moderate</v>
      </c>
      <c r="R295" s="1">
        <f t="shared" si="78"/>
        <v>49</v>
      </c>
      <c r="S295" s="1">
        <f t="shared" si="79"/>
        <v>54.666666666666664</v>
      </c>
      <c r="T295" s="1">
        <f t="shared" si="80"/>
        <v>701.33333333333337</v>
      </c>
      <c r="U295" t="str">
        <f t="shared" si="81"/>
        <v xml:space="preserve"> Safe</v>
      </c>
      <c r="V295">
        <f t="shared" si="82"/>
        <v>1680</v>
      </c>
      <c r="W295" s="9">
        <f t="shared" si="83"/>
        <v>584841.6</v>
      </c>
      <c r="Y295">
        <f t="shared" si="84"/>
        <v>1.3112160335221525E-3</v>
      </c>
      <c r="Z295" s="12">
        <f t="shared" si="94"/>
        <v>0.85058601071021167</v>
      </c>
      <c r="AA295" t="str">
        <f t="shared" si="85"/>
        <v>B</v>
      </c>
      <c r="AB295" t="str">
        <f t="shared" si="86"/>
        <v>Y</v>
      </c>
      <c r="AC295" t="str">
        <f t="shared" si="87"/>
        <v>BY</v>
      </c>
      <c r="AD295" t="str">
        <f t="shared" si="88"/>
        <v>Periodic Review</v>
      </c>
      <c r="AE295" t="str">
        <f t="shared" si="89"/>
        <v>Bi-Weekly</v>
      </c>
      <c r="AF295" t="str">
        <f t="shared" si="90"/>
        <v>Periodic Review</v>
      </c>
      <c r="AG295" t="str">
        <f t="shared" si="91"/>
        <v>Low</v>
      </c>
      <c r="AH295">
        <f t="shared" si="92"/>
        <v>30</v>
      </c>
      <c r="AI295" t="str">
        <f t="shared" si="93"/>
        <v>Low</v>
      </c>
    </row>
    <row r="296" spans="1:35">
      <c r="A296" t="s">
        <v>50</v>
      </c>
      <c r="B296" t="s">
        <v>18</v>
      </c>
      <c r="C296" t="s">
        <v>22</v>
      </c>
      <c r="D296" t="s">
        <v>19</v>
      </c>
      <c r="E296">
        <v>112</v>
      </c>
      <c r="F296">
        <v>145</v>
      </c>
      <c r="G296">
        <v>67</v>
      </c>
      <c r="H296">
        <v>16</v>
      </c>
      <c r="I296">
        <v>335.25</v>
      </c>
      <c r="J296">
        <v>0.13</v>
      </c>
      <c r="K296">
        <v>270</v>
      </c>
      <c r="L296">
        <v>0.86</v>
      </c>
      <c r="M296">
        <v>1</v>
      </c>
      <c r="N296" s="1">
        <f t="shared" si="76"/>
        <v>4.833333333333333</v>
      </c>
      <c r="O296" s="1">
        <f>N296*(1+Control_Panel!$B$2)</f>
        <v>4.833333333333333</v>
      </c>
      <c r="P296" s="12">
        <f t="shared" si="77"/>
        <v>0.46206896551724136</v>
      </c>
      <c r="Q296" t="str" cm="1">
        <f t="array" ref="Q296">_xlfn.IFS(P296&lt;0.2,"Stable",P296&lt;=0.5,"Moderate",P296&gt;0.5,"Highly veriable")</f>
        <v>Moderate</v>
      </c>
      <c r="R296" s="1">
        <f t="shared" si="78"/>
        <v>268</v>
      </c>
      <c r="S296" s="1">
        <f t="shared" si="79"/>
        <v>288.83333333333331</v>
      </c>
      <c r="T296" s="1">
        <f t="shared" si="80"/>
        <v>-176.83333333333331</v>
      </c>
      <c r="U296" t="str">
        <f t="shared" si="81"/>
        <v xml:space="preserve"> Need to Order</v>
      </c>
      <c r="V296">
        <f t="shared" si="82"/>
        <v>1740</v>
      </c>
      <c r="W296" s="9">
        <f t="shared" si="83"/>
        <v>583335</v>
      </c>
      <c r="Y296">
        <f t="shared" si="84"/>
        <v>1.3078382333176109E-3</v>
      </c>
      <c r="Z296" s="12">
        <f t="shared" si="94"/>
        <v>0.85189384894352926</v>
      </c>
      <c r="AA296" t="str">
        <f t="shared" si="85"/>
        <v>B</v>
      </c>
      <c r="AB296" t="str">
        <f t="shared" si="86"/>
        <v>Y</v>
      </c>
      <c r="AC296" t="str">
        <f t="shared" si="87"/>
        <v>BY</v>
      </c>
      <c r="AD296" t="str">
        <f t="shared" si="88"/>
        <v>Periodic Review</v>
      </c>
      <c r="AE296" t="str">
        <f t="shared" si="89"/>
        <v>Bi-Weekly</v>
      </c>
      <c r="AF296" t="str">
        <f t="shared" si="90"/>
        <v>Periodic Review</v>
      </c>
      <c r="AG296" t="str">
        <f t="shared" si="91"/>
        <v>Low</v>
      </c>
      <c r="AH296">
        <f t="shared" si="92"/>
        <v>30</v>
      </c>
      <c r="AI296" t="str">
        <f t="shared" si="93"/>
        <v>Low</v>
      </c>
    </row>
    <row r="297" spans="1:35">
      <c r="A297" t="s">
        <v>403</v>
      </c>
      <c r="B297" t="s">
        <v>38</v>
      </c>
      <c r="C297" t="s">
        <v>22</v>
      </c>
      <c r="D297" t="s">
        <v>23</v>
      </c>
      <c r="E297">
        <v>332</v>
      </c>
      <c r="F297">
        <v>297</v>
      </c>
      <c r="G297">
        <v>69</v>
      </c>
      <c r="H297">
        <v>11</v>
      </c>
      <c r="I297">
        <v>162.47</v>
      </c>
      <c r="J297">
        <v>0.2</v>
      </c>
      <c r="K297">
        <v>840</v>
      </c>
      <c r="L297">
        <v>0.93</v>
      </c>
      <c r="M297">
        <v>1</v>
      </c>
      <c r="N297" s="1">
        <f t="shared" si="76"/>
        <v>9.9</v>
      </c>
      <c r="O297" s="1">
        <f>N297*(1+Control_Panel!$B$2)</f>
        <v>9.9</v>
      </c>
      <c r="P297" s="12">
        <f t="shared" si="77"/>
        <v>0.23232323232323232</v>
      </c>
      <c r="Q297" t="str" cm="1">
        <f t="array" ref="Q297">_xlfn.IFS(P297&lt;0.2,"Stable",P297&lt;=0.5,"Moderate",P297&gt;0.5,"Highly veriable")</f>
        <v>Moderate</v>
      </c>
      <c r="R297" s="1">
        <f t="shared" si="78"/>
        <v>228.84711053452259</v>
      </c>
      <c r="S297" s="1">
        <f t="shared" si="79"/>
        <v>249.74711053452259</v>
      </c>
      <c r="T297" s="1">
        <f t="shared" si="80"/>
        <v>82.252889465477409</v>
      </c>
      <c r="U297" t="str">
        <f t="shared" si="81"/>
        <v xml:space="preserve"> Risk</v>
      </c>
      <c r="V297">
        <f t="shared" si="82"/>
        <v>3564</v>
      </c>
      <c r="W297" s="9">
        <f t="shared" si="83"/>
        <v>579043.07999999996</v>
      </c>
      <c r="Y297">
        <f t="shared" si="84"/>
        <v>1.2982157401184361E-3</v>
      </c>
      <c r="Z297" s="12">
        <f t="shared" si="94"/>
        <v>0.85319206468364772</v>
      </c>
      <c r="AA297" t="str">
        <f t="shared" si="85"/>
        <v>B</v>
      </c>
      <c r="AB297" t="str">
        <f t="shared" si="86"/>
        <v>Y</v>
      </c>
      <c r="AC297" t="str">
        <f t="shared" si="87"/>
        <v>BY</v>
      </c>
      <c r="AD297" t="str">
        <f t="shared" si="88"/>
        <v>Periodic Review</v>
      </c>
      <c r="AE297" t="str">
        <f t="shared" si="89"/>
        <v>Bi-Weekly</v>
      </c>
      <c r="AF297" t="str">
        <f t="shared" si="90"/>
        <v>Periodic Review</v>
      </c>
      <c r="AG297" t="str">
        <f t="shared" si="91"/>
        <v>Low</v>
      </c>
      <c r="AH297">
        <f t="shared" si="92"/>
        <v>30</v>
      </c>
      <c r="AI297" t="str">
        <f t="shared" si="93"/>
        <v>Low</v>
      </c>
    </row>
    <row r="298" spans="1:35">
      <c r="A298" t="s">
        <v>516</v>
      </c>
      <c r="B298" t="s">
        <v>29</v>
      </c>
      <c r="C298" t="s">
        <v>15</v>
      </c>
      <c r="D298" t="s">
        <v>16</v>
      </c>
      <c r="E298">
        <v>624</v>
      </c>
      <c r="F298">
        <v>106</v>
      </c>
      <c r="G298">
        <v>90</v>
      </c>
      <c r="H298">
        <v>23</v>
      </c>
      <c r="I298">
        <v>453.09</v>
      </c>
      <c r="J298">
        <v>0.13</v>
      </c>
      <c r="K298">
        <v>976</v>
      </c>
      <c r="L298">
        <v>0.8</v>
      </c>
      <c r="M298">
        <v>3</v>
      </c>
      <c r="N298" s="1">
        <f t="shared" si="76"/>
        <v>3.5333333333333332</v>
      </c>
      <c r="O298" s="1">
        <f>N298*(1+Control_Panel!$B$2)</f>
        <v>3.5333333333333332</v>
      </c>
      <c r="P298" s="12">
        <f t="shared" si="77"/>
        <v>0.84905660377358494</v>
      </c>
      <c r="Q298" t="str" cm="1">
        <f t="array" ref="Q298">_xlfn.IFS(P298&lt;0.2,"Stable",P298&lt;=0.5,"Moderate",P298&gt;0.5,"Highly veriable")</f>
        <v>Highly veriable</v>
      </c>
      <c r="R298" s="1">
        <f t="shared" si="78"/>
        <v>431.62483709814472</v>
      </c>
      <c r="S298" s="1">
        <f t="shared" si="79"/>
        <v>458.15817043147808</v>
      </c>
      <c r="T298" s="1">
        <f t="shared" si="80"/>
        <v>165.84182956852192</v>
      </c>
      <c r="U298" t="str">
        <f t="shared" si="81"/>
        <v xml:space="preserve"> Risk</v>
      </c>
      <c r="V298">
        <f t="shared" si="82"/>
        <v>1272</v>
      </c>
      <c r="W298" s="9">
        <f t="shared" si="83"/>
        <v>576330.48</v>
      </c>
      <c r="Y298">
        <f t="shared" si="84"/>
        <v>1.2921340855088254E-3</v>
      </c>
      <c r="Z298" s="12">
        <f t="shared" si="94"/>
        <v>0.8544841987691566</v>
      </c>
      <c r="AA298" t="str">
        <f t="shared" si="85"/>
        <v>B</v>
      </c>
      <c r="AB298" t="str">
        <f t="shared" si="86"/>
        <v>Z</v>
      </c>
      <c r="AC298" t="str">
        <f t="shared" si="87"/>
        <v>BZ</v>
      </c>
      <c r="AD298" t="str">
        <f t="shared" si="88"/>
        <v>Risk Monitoring</v>
      </c>
      <c r="AE298" t="str">
        <f t="shared" si="89"/>
        <v>Weekly Risk Review</v>
      </c>
      <c r="AF298" t="str">
        <f t="shared" si="90"/>
        <v>Monitor Demand Variability</v>
      </c>
      <c r="AG298" t="str">
        <f t="shared" si="91"/>
        <v>Medium</v>
      </c>
      <c r="AH298">
        <f t="shared" si="92"/>
        <v>30</v>
      </c>
      <c r="AI298" t="str">
        <f t="shared" si="93"/>
        <v>Low</v>
      </c>
    </row>
    <row r="299" spans="1:35">
      <c r="A299" t="s">
        <v>102</v>
      </c>
      <c r="B299" t="s">
        <v>36</v>
      </c>
      <c r="C299" t="s">
        <v>22</v>
      </c>
      <c r="D299" t="s">
        <v>19</v>
      </c>
      <c r="E299">
        <v>910</v>
      </c>
      <c r="F299">
        <v>405</v>
      </c>
      <c r="G299">
        <v>87</v>
      </c>
      <c r="H299">
        <v>12</v>
      </c>
      <c r="I299">
        <v>118.29</v>
      </c>
      <c r="J299">
        <v>0.21</v>
      </c>
      <c r="K299">
        <v>299</v>
      </c>
      <c r="L299">
        <v>0.73</v>
      </c>
      <c r="M299">
        <v>9</v>
      </c>
      <c r="N299" s="1">
        <f t="shared" si="76"/>
        <v>13.5</v>
      </c>
      <c r="O299" s="1">
        <f>N299*(1+Control_Panel!$B$2)</f>
        <v>13.5</v>
      </c>
      <c r="P299" s="12">
        <f t="shared" si="77"/>
        <v>0.21481481481481482</v>
      </c>
      <c r="Q299" t="str" cm="1">
        <f t="array" ref="Q299">_xlfn.IFS(P299&lt;0.2,"Stable",P299&lt;=0.5,"Moderate",P299&gt;0.5,"Highly veriable")</f>
        <v>Moderate</v>
      </c>
      <c r="R299" s="1">
        <f t="shared" si="78"/>
        <v>301.37684051698466</v>
      </c>
      <c r="S299" s="1">
        <f t="shared" si="79"/>
        <v>326.87684051698466</v>
      </c>
      <c r="T299" s="1">
        <f t="shared" si="80"/>
        <v>583.12315948301534</v>
      </c>
      <c r="U299" t="str">
        <f t="shared" si="81"/>
        <v xml:space="preserve"> Safe</v>
      </c>
      <c r="V299">
        <f t="shared" si="82"/>
        <v>4860</v>
      </c>
      <c r="W299" s="9">
        <f t="shared" si="83"/>
        <v>574889.4</v>
      </c>
      <c r="Y299">
        <f t="shared" si="84"/>
        <v>1.2889031812749472E-3</v>
      </c>
      <c r="Z299" s="12">
        <f t="shared" si="94"/>
        <v>0.85577310195043155</v>
      </c>
      <c r="AA299" t="str">
        <f t="shared" si="85"/>
        <v>B</v>
      </c>
      <c r="AB299" t="str">
        <f t="shared" si="86"/>
        <v>Y</v>
      </c>
      <c r="AC299" t="str">
        <f t="shared" si="87"/>
        <v>BY</v>
      </c>
      <c r="AD299" t="str">
        <f t="shared" si="88"/>
        <v>Periodic Review</v>
      </c>
      <c r="AE299" t="str">
        <f t="shared" si="89"/>
        <v>Bi-Weekly</v>
      </c>
      <c r="AF299" t="str">
        <f t="shared" si="90"/>
        <v>Periodic Review</v>
      </c>
      <c r="AG299" t="str">
        <f t="shared" si="91"/>
        <v>Low</v>
      </c>
      <c r="AH299">
        <f t="shared" si="92"/>
        <v>50</v>
      </c>
      <c r="AI299" t="str">
        <f t="shared" si="93"/>
        <v>Medium</v>
      </c>
    </row>
    <row r="300" spans="1:35">
      <c r="A300" t="s">
        <v>512</v>
      </c>
      <c r="B300" t="s">
        <v>36</v>
      </c>
      <c r="C300" t="s">
        <v>15</v>
      </c>
      <c r="D300" t="s">
        <v>25</v>
      </c>
      <c r="E300">
        <v>186</v>
      </c>
      <c r="F300">
        <v>124</v>
      </c>
      <c r="G300">
        <v>20</v>
      </c>
      <c r="H300">
        <v>6</v>
      </c>
      <c r="I300">
        <v>382.05</v>
      </c>
      <c r="J300">
        <v>0.09</v>
      </c>
      <c r="K300">
        <v>471</v>
      </c>
      <c r="L300">
        <v>0.81</v>
      </c>
      <c r="M300">
        <v>4</v>
      </c>
      <c r="N300" s="1">
        <f t="shared" si="76"/>
        <v>4.1333333333333337</v>
      </c>
      <c r="O300" s="1">
        <f>N300*(1+Control_Panel!$B$2)</f>
        <v>4.1333333333333337</v>
      </c>
      <c r="P300" s="12">
        <f t="shared" si="77"/>
        <v>0.16129032258064516</v>
      </c>
      <c r="Q300" t="str" cm="1">
        <f t="array" ref="Q300">_xlfn.IFS(P300&lt;0.2,"Stable",P300&lt;=0.5,"Moderate",P300&gt;0.5,"Highly veriable")</f>
        <v>Stable</v>
      </c>
      <c r="R300" s="1">
        <f t="shared" si="78"/>
        <v>48.989794855663561</v>
      </c>
      <c r="S300" s="1">
        <f t="shared" si="79"/>
        <v>59.123128188996894</v>
      </c>
      <c r="T300" s="1">
        <f t="shared" si="80"/>
        <v>126.8768718110031</v>
      </c>
      <c r="U300" t="str">
        <f t="shared" si="81"/>
        <v xml:space="preserve"> Safe</v>
      </c>
      <c r="V300">
        <f t="shared" si="82"/>
        <v>1488</v>
      </c>
      <c r="W300" s="9">
        <f t="shared" si="83"/>
        <v>568490.4</v>
      </c>
      <c r="Y300">
        <f t="shared" si="84"/>
        <v>1.2745566105137219E-3</v>
      </c>
      <c r="Z300" s="12">
        <f t="shared" si="94"/>
        <v>0.85704765856094522</v>
      </c>
      <c r="AA300" t="str">
        <f t="shared" si="85"/>
        <v>B</v>
      </c>
      <c r="AB300" t="str">
        <f t="shared" si="86"/>
        <v>X</v>
      </c>
      <c r="AC300" t="str">
        <f t="shared" si="87"/>
        <v>BX</v>
      </c>
      <c r="AD300" t="str">
        <f t="shared" si="88"/>
        <v>Standard Control</v>
      </c>
      <c r="AE300" t="str">
        <f t="shared" si="89"/>
        <v>Weekly</v>
      </c>
      <c r="AF300" t="str">
        <f t="shared" si="90"/>
        <v>Standard Replenishment</v>
      </c>
      <c r="AG300" t="str">
        <f t="shared" si="91"/>
        <v>Low</v>
      </c>
      <c r="AH300">
        <f t="shared" si="92"/>
        <v>30</v>
      </c>
      <c r="AI300" t="str">
        <f t="shared" si="93"/>
        <v>Low</v>
      </c>
    </row>
    <row r="301" spans="1:35">
      <c r="A301" t="s">
        <v>178</v>
      </c>
      <c r="B301" t="s">
        <v>34</v>
      </c>
      <c r="C301" t="s">
        <v>15</v>
      </c>
      <c r="D301" t="s">
        <v>19</v>
      </c>
      <c r="E301">
        <v>578</v>
      </c>
      <c r="F301">
        <v>250</v>
      </c>
      <c r="G301">
        <v>57</v>
      </c>
      <c r="H301">
        <v>14</v>
      </c>
      <c r="I301">
        <v>189.19</v>
      </c>
      <c r="J301">
        <v>7.0000000000000007E-2</v>
      </c>
      <c r="K301">
        <v>605</v>
      </c>
      <c r="L301">
        <v>0.8</v>
      </c>
      <c r="M301">
        <v>3</v>
      </c>
      <c r="N301" s="1">
        <f t="shared" si="76"/>
        <v>8.3333333333333339</v>
      </c>
      <c r="O301" s="1">
        <f>N301*(1+Control_Panel!$B$2)</f>
        <v>8.3333333333333339</v>
      </c>
      <c r="P301" s="12">
        <f t="shared" si="77"/>
        <v>0.22800000000000001</v>
      </c>
      <c r="Q301" t="str" cm="1">
        <f t="array" ref="Q301">_xlfn.IFS(P301&lt;0.2,"Stable",P301&lt;=0.5,"Moderate",P301&gt;0.5,"Highly veriable")</f>
        <v>Moderate</v>
      </c>
      <c r="R301" s="1">
        <f t="shared" si="78"/>
        <v>213.27447104611466</v>
      </c>
      <c r="S301" s="1">
        <f t="shared" si="79"/>
        <v>235.607804379448</v>
      </c>
      <c r="T301" s="1">
        <f t="shared" si="80"/>
        <v>342.392195620552</v>
      </c>
      <c r="U301" t="str">
        <f t="shared" si="81"/>
        <v xml:space="preserve"> Safe</v>
      </c>
      <c r="V301">
        <f t="shared" si="82"/>
        <v>3000</v>
      </c>
      <c r="W301" s="9">
        <f t="shared" si="83"/>
        <v>567570</v>
      </c>
      <c r="Y301">
        <f t="shared" si="84"/>
        <v>1.2724930718782113E-3</v>
      </c>
      <c r="Z301" s="12">
        <f t="shared" si="94"/>
        <v>0.85832015163282338</v>
      </c>
      <c r="AA301" t="str">
        <f t="shared" si="85"/>
        <v>B</v>
      </c>
      <c r="AB301" t="str">
        <f t="shared" si="86"/>
        <v>Y</v>
      </c>
      <c r="AC301" t="str">
        <f t="shared" si="87"/>
        <v>BY</v>
      </c>
      <c r="AD301" t="str">
        <f t="shared" si="88"/>
        <v>Periodic Review</v>
      </c>
      <c r="AE301" t="str">
        <f t="shared" si="89"/>
        <v>Bi-Weekly</v>
      </c>
      <c r="AF301" t="str">
        <f t="shared" si="90"/>
        <v>Periodic Review</v>
      </c>
      <c r="AG301" t="str">
        <f t="shared" si="91"/>
        <v>Low</v>
      </c>
      <c r="AH301">
        <f t="shared" si="92"/>
        <v>30</v>
      </c>
      <c r="AI301" t="str">
        <f t="shared" si="93"/>
        <v>Low</v>
      </c>
    </row>
    <row r="302" spans="1:35">
      <c r="A302" t="s">
        <v>200</v>
      </c>
      <c r="B302" t="s">
        <v>18</v>
      </c>
      <c r="C302" t="s">
        <v>22</v>
      </c>
      <c r="D302" t="s">
        <v>16</v>
      </c>
      <c r="E302">
        <v>154</v>
      </c>
      <c r="F302">
        <v>117</v>
      </c>
      <c r="G302">
        <v>40</v>
      </c>
      <c r="H302">
        <v>8</v>
      </c>
      <c r="I302">
        <v>398.05</v>
      </c>
      <c r="J302">
        <v>0.19</v>
      </c>
      <c r="K302">
        <v>418</v>
      </c>
      <c r="L302">
        <v>0.97</v>
      </c>
      <c r="M302">
        <v>4</v>
      </c>
      <c r="N302" s="1">
        <f t="shared" si="76"/>
        <v>3.9</v>
      </c>
      <c r="O302" s="1">
        <f>N302*(1+Control_Panel!$B$2)</f>
        <v>3.9</v>
      </c>
      <c r="P302" s="12">
        <f t="shared" si="77"/>
        <v>0.34188034188034189</v>
      </c>
      <c r="Q302" t="str" cm="1">
        <f t="array" ref="Q302">_xlfn.IFS(P302&lt;0.2,"Stable",P302&lt;=0.5,"Moderate",P302&gt;0.5,"Highly veriable")</f>
        <v>Moderate</v>
      </c>
      <c r="R302" s="1">
        <f t="shared" si="78"/>
        <v>113.13708498984761</v>
      </c>
      <c r="S302" s="1">
        <f t="shared" si="79"/>
        <v>125.03708498984761</v>
      </c>
      <c r="T302" s="1">
        <f t="shared" si="80"/>
        <v>28.962915010152386</v>
      </c>
      <c r="U302" t="str">
        <f t="shared" si="81"/>
        <v xml:space="preserve"> Risk</v>
      </c>
      <c r="V302">
        <f t="shared" si="82"/>
        <v>1404</v>
      </c>
      <c r="W302" s="9">
        <f t="shared" si="83"/>
        <v>558862.20000000007</v>
      </c>
      <c r="Y302">
        <f t="shared" si="84"/>
        <v>1.2529701669126547E-3</v>
      </c>
      <c r="Z302" s="12">
        <f t="shared" si="94"/>
        <v>0.859573121799736</v>
      </c>
      <c r="AA302" t="str">
        <f t="shared" si="85"/>
        <v>B</v>
      </c>
      <c r="AB302" t="str">
        <f t="shared" si="86"/>
        <v>Y</v>
      </c>
      <c r="AC302" t="str">
        <f t="shared" si="87"/>
        <v>BY</v>
      </c>
      <c r="AD302" t="str">
        <f t="shared" si="88"/>
        <v>Periodic Review</v>
      </c>
      <c r="AE302" t="str">
        <f t="shared" si="89"/>
        <v>Bi-Weekly</v>
      </c>
      <c r="AF302" t="str">
        <f t="shared" si="90"/>
        <v>Periodic Review</v>
      </c>
      <c r="AG302" t="str">
        <f t="shared" si="91"/>
        <v>Low</v>
      </c>
      <c r="AH302">
        <f t="shared" si="92"/>
        <v>30</v>
      </c>
      <c r="AI302" t="str">
        <f t="shared" si="93"/>
        <v>Low</v>
      </c>
    </row>
    <row r="303" spans="1:35">
      <c r="A303" t="s">
        <v>235</v>
      </c>
      <c r="B303" t="s">
        <v>34</v>
      </c>
      <c r="C303" t="s">
        <v>15</v>
      </c>
      <c r="D303" t="s">
        <v>41</v>
      </c>
      <c r="E303">
        <v>372</v>
      </c>
      <c r="F303">
        <v>207</v>
      </c>
      <c r="G303">
        <v>41</v>
      </c>
      <c r="H303">
        <v>11</v>
      </c>
      <c r="I303">
        <v>224.32</v>
      </c>
      <c r="J303">
        <v>0.14000000000000001</v>
      </c>
      <c r="K303">
        <v>211</v>
      </c>
      <c r="L303">
        <v>0.86</v>
      </c>
      <c r="M303">
        <v>8</v>
      </c>
      <c r="N303" s="1">
        <f t="shared" si="76"/>
        <v>6.9</v>
      </c>
      <c r="O303" s="1">
        <f>N303*(1+Control_Panel!$B$2)</f>
        <v>6.9</v>
      </c>
      <c r="P303" s="12">
        <f t="shared" si="77"/>
        <v>0.19806763285024154</v>
      </c>
      <c r="Q303" t="str" cm="1">
        <f t="array" ref="Q303">_xlfn.IFS(P303&lt;0.2,"Stable",P303&lt;=0.5,"Moderate",P303&gt;0.5,"Highly veriable")</f>
        <v>Stable</v>
      </c>
      <c r="R303" s="1">
        <f t="shared" si="78"/>
        <v>135.98161640457138</v>
      </c>
      <c r="S303" s="1">
        <f t="shared" si="79"/>
        <v>153.88161640457139</v>
      </c>
      <c r="T303" s="1">
        <f t="shared" si="80"/>
        <v>218.11838359542861</v>
      </c>
      <c r="U303" t="str">
        <f t="shared" si="81"/>
        <v xml:space="preserve"> Safe</v>
      </c>
      <c r="V303">
        <f t="shared" si="82"/>
        <v>2484</v>
      </c>
      <c r="W303" s="9">
        <f t="shared" si="83"/>
        <v>557210.88</v>
      </c>
      <c r="Y303">
        <f t="shared" si="84"/>
        <v>1.2492679041795046E-3</v>
      </c>
      <c r="Z303" s="12">
        <f t="shared" si="94"/>
        <v>0.86082238970391545</v>
      </c>
      <c r="AA303" t="str">
        <f t="shared" si="85"/>
        <v>B</v>
      </c>
      <c r="AB303" t="str">
        <f t="shared" si="86"/>
        <v>X</v>
      </c>
      <c r="AC303" t="str">
        <f t="shared" si="87"/>
        <v>BX</v>
      </c>
      <c r="AD303" t="str">
        <f t="shared" si="88"/>
        <v>Standard Control</v>
      </c>
      <c r="AE303" t="str">
        <f t="shared" si="89"/>
        <v>Weekly</v>
      </c>
      <c r="AF303" t="str">
        <f t="shared" si="90"/>
        <v>Standard Replenishment</v>
      </c>
      <c r="AG303" t="str">
        <f t="shared" si="91"/>
        <v>Low</v>
      </c>
      <c r="AH303">
        <f t="shared" si="92"/>
        <v>50</v>
      </c>
      <c r="AI303" t="str">
        <f t="shared" si="93"/>
        <v>Medium</v>
      </c>
    </row>
    <row r="304" spans="1:35">
      <c r="A304" t="s">
        <v>179</v>
      </c>
      <c r="B304" t="s">
        <v>18</v>
      </c>
      <c r="C304" t="s">
        <v>15</v>
      </c>
      <c r="D304" t="s">
        <v>19</v>
      </c>
      <c r="E304">
        <v>29</v>
      </c>
      <c r="F304">
        <v>217</v>
      </c>
      <c r="G304">
        <v>15</v>
      </c>
      <c r="H304">
        <v>25</v>
      </c>
      <c r="I304">
        <v>213.23</v>
      </c>
      <c r="J304">
        <v>0.13</v>
      </c>
      <c r="K304">
        <v>663</v>
      </c>
      <c r="L304">
        <v>0.92</v>
      </c>
      <c r="M304">
        <v>8</v>
      </c>
      <c r="N304" s="1">
        <f t="shared" si="76"/>
        <v>7.2333333333333334</v>
      </c>
      <c r="O304" s="1">
        <f>N304*(1+Control_Panel!$B$2)</f>
        <v>7.2333333333333334</v>
      </c>
      <c r="P304" s="12">
        <f t="shared" si="77"/>
        <v>6.9124423963133647E-2</v>
      </c>
      <c r="Q304" t="str" cm="1">
        <f t="array" ref="Q304">_xlfn.IFS(P304&lt;0.2,"Stable",P304&lt;=0.5,"Moderate",P304&gt;0.5,"Highly veriable")</f>
        <v>Stable</v>
      </c>
      <c r="R304" s="1">
        <f t="shared" si="78"/>
        <v>75</v>
      </c>
      <c r="S304" s="1">
        <f t="shared" si="79"/>
        <v>107.23333333333333</v>
      </c>
      <c r="T304" s="1">
        <f t="shared" si="80"/>
        <v>-78.233333333333334</v>
      </c>
      <c r="U304" t="str">
        <f t="shared" si="81"/>
        <v xml:space="preserve"> Need to Order</v>
      </c>
      <c r="V304">
        <f t="shared" si="82"/>
        <v>2604</v>
      </c>
      <c r="W304" s="9">
        <f t="shared" si="83"/>
        <v>555250.91999999993</v>
      </c>
      <c r="Y304">
        <f t="shared" si="84"/>
        <v>1.2448736699508481E-3</v>
      </c>
      <c r="Z304" s="12">
        <f t="shared" si="94"/>
        <v>0.8620672633738663</v>
      </c>
      <c r="AA304" t="str">
        <f t="shared" si="85"/>
        <v>B</v>
      </c>
      <c r="AB304" t="str">
        <f t="shared" si="86"/>
        <v>X</v>
      </c>
      <c r="AC304" t="str">
        <f t="shared" si="87"/>
        <v>BX</v>
      </c>
      <c r="AD304" t="str">
        <f t="shared" si="88"/>
        <v>Standard Control</v>
      </c>
      <c r="AE304" t="str">
        <f t="shared" si="89"/>
        <v>Weekly</v>
      </c>
      <c r="AF304" t="str">
        <f t="shared" si="90"/>
        <v>Standard Replenishment</v>
      </c>
      <c r="AG304" t="str">
        <f t="shared" si="91"/>
        <v>Low</v>
      </c>
      <c r="AH304">
        <f t="shared" si="92"/>
        <v>50</v>
      </c>
      <c r="AI304" t="str">
        <f t="shared" si="93"/>
        <v>Medium</v>
      </c>
    </row>
    <row r="305" spans="1:35">
      <c r="A305" t="s">
        <v>333</v>
      </c>
      <c r="B305" t="s">
        <v>34</v>
      </c>
      <c r="C305" t="s">
        <v>15</v>
      </c>
      <c r="D305" t="s">
        <v>16</v>
      </c>
      <c r="E305">
        <v>407</v>
      </c>
      <c r="F305">
        <v>181</v>
      </c>
      <c r="G305">
        <v>94</v>
      </c>
      <c r="H305">
        <v>7</v>
      </c>
      <c r="I305">
        <v>255.6</v>
      </c>
      <c r="J305">
        <v>0.12</v>
      </c>
      <c r="K305">
        <v>494</v>
      </c>
      <c r="L305">
        <v>0.7</v>
      </c>
      <c r="M305">
        <v>9</v>
      </c>
      <c r="N305" s="1">
        <f t="shared" si="76"/>
        <v>6.0333333333333332</v>
      </c>
      <c r="O305" s="1">
        <f>N305*(1+Control_Panel!$B$2)</f>
        <v>6.0333333333333332</v>
      </c>
      <c r="P305" s="12">
        <f t="shared" si="77"/>
        <v>0.51933701657458564</v>
      </c>
      <c r="Q305" t="str" cm="1">
        <f t="array" ref="Q305">_xlfn.IFS(P305&lt;0.2,"Stable",P305&lt;=0.5,"Moderate",P305&gt;0.5,"Highly veriable")</f>
        <v>Highly veriable</v>
      </c>
      <c r="R305" s="1">
        <f t="shared" si="78"/>
        <v>248.70062324007154</v>
      </c>
      <c r="S305" s="1">
        <f t="shared" si="79"/>
        <v>261.7339565734049</v>
      </c>
      <c r="T305" s="1">
        <f t="shared" si="80"/>
        <v>145.2660434265951</v>
      </c>
      <c r="U305" t="str">
        <f t="shared" si="81"/>
        <v xml:space="preserve"> Risk</v>
      </c>
      <c r="V305">
        <f t="shared" si="82"/>
        <v>2172</v>
      </c>
      <c r="W305" s="9">
        <f t="shared" si="83"/>
        <v>555163.19999999995</v>
      </c>
      <c r="Y305">
        <f t="shared" si="84"/>
        <v>1.2446770015359123E-3</v>
      </c>
      <c r="Z305" s="12">
        <f t="shared" si="94"/>
        <v>0.86331194037540226</v>
      </c>
      <c r="AA305" t="str">
        <f t="shared" si="85"/>
        <v>B</v>
      </c>
      <c r="AB305" t="str">
        <f t="shared" si="86"/>
        <v>Z</v>
      </c>
      <c r="AC305" t="str">
        <f t="shared" si="87"/>
        <v>BZ</v>
      </c>
      <c r="AD305" t="str">
        <f t="shared" si="88"/>
        <v>Risk Monitoring</v>
      </c>
      <c r="AE305" t="str">
        <f t="shared" si="89"/>
        <v>Weekly Risk Review</v>
      </c>
      <c r="AF305" t="str">
        <f t="shared" si="90"/>
        <v>Monitor Demand Variability</v>
      </c>
      <c r="AG305" t="str">
        <f t="shared" si="91"/>
        <v>Medium</v>
      </c>
      <c r="AH305">
        <f t="shared" si="92"/>
        <v>50</v>
      </c>
      <c r="AI305" t="str">
        <f t="shared" si="93"/>
        <v>Medium</v>
      </c>
    </row>
    <row r="306" spans="1:35">
      <c r="A306" t="s">
        <v>161</v>
      </c>
      <c r="B306" t="s">
        <v>29</v>
      </c>
      <c r="C306" t="s">
        <v>22</v>
      </c>
      <c r="D306" t="s">
        <v>25</v>
      </c>
      <c r="E306">
        <v>681</v>
      </c>
      <c r="F306">
        <v>350</v>
      </c>
      <c r="G306">
        <v>50</v>
      </c>
      <c r="H306">
        <v>7</v>
      </c>
      <c r="I306">
        <v>131.77000000000001</v>
      </c>
      <c r="J306">
        <v>0.15</v>
      </c>
      <c r="K306">
        <v>555</v>
      </c>
      <c r="L306">
        <v>0.78</v>
      </c>
      <c r="M306">
        <v>9</v>
      </c>
      <c r="N306" s="1">
        <f t="shared" si="76"/>
        <v>11.666666666666666</v>
      </c>
      <c r="O306" s="1">
        <f>N306*(1+Control_Panel!$B$2)</f>
        <v>11.666666666666666</v>
      </c>
      <c r="P306" s="12">
        <f t="shared" si="77"/>
        <v>0.14285714285714285</v>
      </c>
      <c r="Q306" t="str" cm="1">
        <f t="array" ref="Q306">_xlfn.IFS(P306&lt;0.2,"Stable",P306&lt;=0.5,"Moderate",P306&gt;0.5,"Highly veriable")</f>
        <v>Stable</v>
      </c>
      <c r="R306" s="1">
        <f t="shared" si="78"/>
        <v>132.28756555322954</v>
      </c>
      <c r="S306" s="1">
        <f t="shared" si="79"/>
        <v>150.9542322198962</v>
      </c>
      <c r="T306" s="1">
        <f t="shared" si="80"/>
        <v>530.0457677801038</v>
      </c>
      <c r="U306" t="str">
        <f t="shared" si="81"/>
        <v xml:space="preserve"> Safe</v>
      </c>
      <c r="V306">
        <f t="shared" si="82"/>
        <v>4200</v>
      </c>
      <c r="W306" s="9">
        <f t="shared" si="83"/>
        <v>553434</v>
      </c>
      <c r="Y306">
        <f t="shared" si="84"/>
        <v>1.24080013168745E-3</v>
      </c>
      <c r="Z306" s="12">
        <f t="shared" si="94"/>
        <v>0.86455274050708975</v>
      </c>
      <c r="AA306" t="str">
        <f t="shared" si="85"/>
        <v>B</v>
      </c>
      <c r="AB306" t="str">
        <f t="shared" si="86"/>
        <v>X</v>
      </c>
      <c r="AC306" t="str">
        <f t="shared" si="87"/>
        <v>BX</v>
      </c>
      <c r="AD306" t="str">
        <f t="shared" si="88"/>
        <v>Standard Control</v>
      </c>
      <c r="AE306" t="str">
        <f t="shared" si="89"/>
        <v>Weekly</v>
      </c>
      <c r="AF306" t="str">
        <f t="shared" si="90"/>
        <v>Standard Replenishment</v>
      </c>
      <c r="AG306" t="str">
        <f t="shared" si="91"/>
        <v>Low</v>
      </c>
      <c r="AH306">
        <f t="shared" si="92"/>
        <v>50</v>
      </c>
      <c r="AI306" t="str">
        <f t="shared" si="93"/>
        <v>Medium</v>
      </c>
    </row>
    <row r="307" spans="1:35">
      <c r="A307" t="s">
        <v>277</v>
      </c>
      <c r="B307" t="s">
        <v>36</v>
      </c>
      <c r="C307" t="s">
        <v>15</v>
      </c>
      <c r="D307" t="s">
        <v>25</v>
      </c>
      <c r="E307">
        <v>940</v>
      </c>
      <c r="F307">
        <v>314</v>
      </c>
      <c r="G307">
        <v>87</v>
      </c>
      <c r="H307">
        <v>30</v>
      </c>
      <c r="I307">
        <v>145.62</v>
      </c>
      <c r="J307">
        <v>0.22</v>
      </c>
      <c r="K307">
        <v>901</v>
      </c>
      <c r="L307">
        <v>0.7</v>
      </c>
      <c r="M307">
        <v>4</v>
      </c>
      <c r="N307" s="1">
        <f t="shared" si="76"/>
        <v>10.466666666666667</v>
      </c>
      <c r="O307" s="1">
        <f>N307*(1+Control_Panel!$B$2)</f>
        <v>10.466666666666667</v>
      </c>
      <c r="P307" s="12">
        <f t="shared" si="77"/>
        <v>0.27707006369426751</v>
      </c>
      <c r="Q307" t="str" cm="1">
        <f t="array" ref="Q307">_xlfn.IFS(P307&lt;0.2,"Stable",P307&lt;=0.5,"Moderate",P307&gt;0.5,"Highly veriable")</f>
        <v>Moderate</v>
      </c>
      <c r="R307" s="1">
        <f t="shared" si="78"/>
        <v>476.5186250294945</v>
      </c>
      <c r="S307" s="1">
        <f t="shared" si="79"/>
        <v>516.9852916961612</v>
      </c>
      <c r="T307" s="1">
        <f t="shared" si="80"/>
        <v>423.0147083038388</v>
      </c>
      <c r="U307" t="str">
        <f t="shared" si="81"/>
        <v xml:space="preserve"> Risk</v>
      </c>
      <c r="V307">
        <f t="shared" si="82"/>
        <v>3768</v>
      </c>
      <c r="W307" s="9">
        <f t="shared" si="83"/>
        <v>548696.16</v>
      </c>
      <c r="Y307">
        <f t="shared" si="84"/>
        <v>1.2301778849589981E-3</v>
      </c>
      <c r="Z307" s="12">
        <f t="shared" si="94"/>
        <v>0.86578291839204879</v>
      </c>
      <c r="AA307" t="str">
        <f t="shared" si="85"/>
        <v>B</v>
      </c>
      <c r="AB307" t="str">
        <f t="shared" si="86"/>
        <v>Y</v>
      </c>
      <c r="AC307" t="str">
        <f t="shared" si="87"/>
        <v>BY</v>
      </c>
      <c r="AD307" t="str">
        <f t="shared" si="88"/>
        <v>Periodic Review</v>
      </c>
      <c r="AE307" t="str">
        <f t="shared" si="89"/>
        <v>Bi-Weekly</v>
      </c>
      <c r="AF307" t="str">
        <f t="shared" si="90"/>
        <v>Periodic Review</v>
      </c>
      <c r="AG307" t="str">
        <f t="shared" si="91"/>
        <v>Low</v>
      </c>
      <c r="AH307">
        <f t="shared" si="92"/>
        <v>30</v>
      </c>
      <c r="AI307" t="str">
        <f t="shared" si="93"/>
        <v>Low</v>
      </c>
    </row>
    <row r="308" spans="1:35">
      <c r="A308" t="s">
        <v>337</v>
      </c>
      <c r="B308" t="s">
        <v>34</v>
      </c>
      <c r="C308" t="s">
        <v>22</v>
      </c>
      <c r="D308" t="s">
        <v>41</v>
      </c>
      <c r="E308">
        <v>616</v>
      </c>
      <c r="F308">
        <v>104</v>
      </c>
      <c r="G308">
        <v>93</v>
      </c>
      <c r="H308">
        <v>12</v>
      </c>
      <c r="I308">
        <v>439.35</v>
      </c>
      <c r="J308">
        <v>0.06</v>
      </c>
      <c r="K308">
        <v>143</v>
      </c>
      <c r="L308">
        <v>0.83</v>
      </c>
      <c r="M308">
        <v>7</v>
      </c>
      <c r="N308" s="1">
        <f t="shared" si="76"/>
        <v>3.4666666666666668</v>
      </c>
      <c r="O308" s="1">
        <f>N308*(1+Control_Panel!$B$2)</f>
        <v>3.4666666666666668</v>
      </c>
      <c r="P308" s="12">
        <f t="shared" si="77"/>
        <v>0.89423076923076927</v>
      </c>
      <c r="Q308" t="str" cm="1">
        <f t="array" ref="Q308">_xlfn.IFS(P308&lt;0.2,"Stable",P308&lt;=0.5,"Moderate",P308&gt;0.5,"Highly veriable")</f>
        <v>Highly veriable</v>
      </c>
      <c r="R308" s="1">
        <f t="shared" si="78"/>
        <v>322.16145020781119</v>
      </c>
      <c r="S308" s="1">
        <f t="shared" si="79"/>
        <v>337.62811687447783</v>
      </c>
      <c r="T308" s="1">
        <f t="shared" si="80"/>
        <v>278.37188312552217</v>
      </c>
      <c r="U308" t="str">
        <f t="shared" si="81"/>
        <v xml:space="preserve"> Risk</v>
      </c>
      <c r="V308">
        <f t="shared" si="82"/>
        <v>1248</v>
      </c>
      <c r="W308" s="9">
        <f t="shared" si="83"/>
        <v>548308.80000000005</v>
      </c>
      <c r="Y308">
        <f t="shared" si="84"/>
        <v>1.2293094230665042E-3</v>
      </c>
      <c r="Z308" s="12">
        <f t="shared" si="94"/>
        <v>0.86701222781511533</v>
      </c>
      <c r="AA308" t="str">
        <f t="shared" si="85"/>
        <v>B</v>
      </c>
      <c r="AB308" t="str">
        <f t="shared" si="86"/>
        <v>Z</v>
      </c>
      <c r="AC308" t="str">
        <f t="shared" si="87"/>
        <v>BZ</v>
      </c>
      <c r="AD308" t="str">
        <f t="shared" si="88"/>
        <v>Risk Monitoring</v>
      </c>
      <c r="AE308" t="str">
        <f t="shared" si="89"/>
        <v>Weekly Risk Review</v>
      </c>
      <c r="AF308" t="str">
        <f t="shared" si="90"/>
        <v>Monitor Demand Variability</v>
      </c>
      <c r="AG308" t="str">
        <f t="shared" si="91"/>
        <v>Medium</v>
      </c>
      <c r="AH308">
        <f t="shared" si="92"/>
        <v>40</v>
      </c>
      <c r="AI308" t="str">
        <f t="shared" si="93"/>
        <v>Low</v>
      </c>
    </row>
    <row r="309" spans="1:35">
      <c r="A309" t="s">
        <v>305</v>
      </c>
      <c r="B309" t="s">
        <v>14</v>
      </c>
      <c r="C309" t="s">
        <v>22</v>
      </c>
      <c r="D309" t="s">
        <v>16</v>
      </c>
      <c r="E309">
        <v>909</v>
      </c>
      <c r="F309">
        <v>275</v>
      </c>
      <c r="G309">
        <v>84</v>
      </c>
      <c r="H309">
        <v>21</v>
      </c>
      <c r="I309">
        <v>165.71</v>
      </c>
      <c r="J309">
        <v>0.08</v>
      </c>
      <c r="K309">
        <v>727</v>
      </c>
      <c r="L309">
        <v>0.99</v>
      </c>
      <c r="M309">
        <v>8</v>
      </c>
      <c r="N309" s="1">
        <f t="shared" si="76"/>
        <v>9.1666666666666661</v>
      </c>
      <c r="O309" s="1">
        <f>N309*(1+Control_Panel!$B$2)</f>
        <v>9.1666666666666661</v>
      </c>
      <c r="P309" s="12">
        <f t="shared" si="77"/>
        <v>0.30545454545454548</v>
      </c>
      <c r="Q309" t="str" cm="1">
        <f t="array" ref="Q309">_xlfn.IFS(P309&lt;0.2,"Stable",P309&lt;=0.5,"Moderate",P309&gt;0.5,"Highly veriable")</f>
        <v>Moderate</v>
      </c>
      <c r="R309" s="1">
        <f t="shared" si="78"/>
        <v>384.93635837629057</v>
      </c>
      <c r="S309" s="1">
        <f t="shared" si="79"/>
        <v>415.10302504295726</v>
      </c>
      <c r="T309" s="1">
        <f t="shared" si="80"/>
        <v>493.89697495704274</v>
      </c>
      <c r="U309" t="str">
        <f t="shared" si="81"/>
        <v xml:space="preserve"> Safe</v>
      </c>
      <c r="V309">
        <f t="shared" si="82"/>
        <v>3300</v>
      </c>
      <c r="W309" s="9">
        <f t="shared" si="83"/>
        <v>546843</v>
      </c>
      <c r="Y309">
        <f t="shared" si="84"/>
        <v>1.2260230965433279E-3</v>
      </c>
      <c r="Z309" s="12">
        <f t="shared" si="94"/>
        <v>0.86823825091165863</v>
      </c>
      <c r="AA309" t="str">
        <f t="shared" si="85"/>
        <v>B</v>
      </c>
      <c r="AB309" t="str">
        <f t="shared" si="86"/>
        <v>Y</v>
      </c>
      <c r="AC309" t="str">
        <f t="shared" si="87"/>
        <v>BY</v>
      </c>
      <c r="AD309" t="str">
        <f t="shared" si="88"/>
        <v>Periodic Review</v>
      </c>
      <c r="AE309" t="str">
        <f t="shared" si="89"/>
        <v>Bi-Weekly</v>
      </c>
      <c r="AF309" t="str">
        <f t="shared" si="90"/>
        <v>Periodic Review</v>
      </c>
      <c r="AG309" t="str">
        <f t="shared" si="91"/>
        <v>Low</v>
      </c>
      <c r="AH309">
        <f t="shared" si="92"/>
        <v>50</v>
      </c>
      <c r="AI309" t="str">
        <f t="shared" si="93"/>
        <v>Medium</v>
      </c>
    </row>
    <row r="310" spans="1:35">
      <c r="A310" t="s">
        <v>389</v>
      </c>
      <c r="B310" t="s">
        <v>34</v>
      </c>
      <c r="C310" t="s">
        <v>15</v>
      </c>
      <c r="D310" t="s">
        <v>41</v>
      </c>
      <c r="E310">
        <v>601</v>
      </c>
      <c r="F310">
        <v>100</v>
      </c>
      <c r="G310">
        <v>36</v>
      </c>
      <c r="H310">
        <v>11</v>
      </c>
      <c r="I310">
        <v>455.14</v>
      </c>
      <c r="J310">
        <v>0.17</v>
      </c>
      <c r="K310">
        <v>559</v>
      </c>
      <c r="L310">
        <v>0.94</v>
      </c>
      <c r="M310">
        <v>6</v>
      </c>
      <c r="N310" s="1">
        <f t="shared" si="76"/>
        <v>3.3333333333333335</v>
      </c>
      <c r="O310" s="1">
        <f>N310*(1+Control_Panel!$B$2)</f>
        <v>3.3333333333333335</v>
      </c>
      <c r="P310" s="12">
        <f t="shared" si="77"/>
        <v>0.36</v>
      </c>
      <c r="Q310" t="str" cm="1">
        <f t="array" ref="Q310">_xlfn.IFS(P310&lt;0.2,"Stable",P310&lt;=0.5,"Moderate",P310&gt;0.5,"Highly veriable")</f>
        <v>Moderate</v>
      </c>
      <c r="R310" s="1">
        <f t="shared" si="78"/>
        <v>119.39849245279439</v>
      </c>
      <c r="S310" s="1">
        <f t="shared" si="79"/>
        <v>133.73182578612773</v>
      </c>
      <c r="T310" s="1">
        <f t="shared" si="80"/>
        <v>467.26817421387227</v>
      </c>
      <c r="U310" t="str">
        <f t="shared" si="81"/>
        <v xml:space="preserve"> Safe</v>
      </c>
      <c r="V310">
        <f t="shared" si="82"/>
        <v>1200</v>
      </c>
      <c r="W310" s="9">
        <f t="shared" si="83"/>
        <v>546168</v>
      </c>
      <c r="Y310">
        <f t="shared" si="84"/>
        <v>1.2245097451972073E-3</v>
      </c>
      <c r="Z310" s="12">
        <f t="shared" si="94"/>
        <v>0.86946276065685579</v>
      </c>
      <c r="AA310" t="str">
        <f t="shared" si="85"/>
        <v>B</v>
      </c>
      <c r="AB310" t="str">
        <f t="shared" si="86"/>
        <v>Y</v>
      </c>
      <c r="AC310" t="str">
        <f t="shared" si="87"/>
        <v>BY</v>
      </c>
      <c r="AD310" t="str">
        <f t="shared" si="88"/>
        <v>Periodic Review</v>
      </c>
      <c r="AE310" t="str">
        <f t="shared" si="89"/>
        <v>Bi-Weekly</v>
      </c>
      <c r="AF310" t="str">
        <f t="shared" si="90"/>
        <v>Periodic Review</v>
      </c>
      <c r="AG310" t="str">
        <f t="shared" si="91"/>
        <v>Low</v>
      </c>
      <c r="AH310">
        <f t="shared" si="92"/>
        <v>40</v>
      </c>
      <c r="AI310" t="str">
        <f t="shared" si="93"/>
        <v>Low</v>
      </c>
    </row>
    <row r="311" spans="1:35">
      <c r="A311" t="s">
        <v>64</v>
      </c>
      <c r="B311" t="s">
        <v>40</v>
      </c>
      <c r="C311" t="s">
        <v>15</v>
      </c>
      <c r="D311" t="s">
        <v>16</v>
      </c>
      <c r="E311">
        <v>890</v>
      </c>
      <c r="F311">
        <v>333</v>
      </c>
      <c r="G311">
        <v>20</v>
      </c>
      <c r="H311">
        <v>3</v>
      </c>
      <c r="I311">
        <v>136.16</v>
      </c>
      <c r="J311">
        <v>0.19</v>
      </c>
      <c r="K311">
        <v>579</v>
      </c>
      <c r="L311">
        <v>0.9</v>
      </c>
      <c r="M311">
        <v>2</v>
      </c>
      <c r="N311" s="1">
        <f t="shared" si="76"/>
        <v>11.1</v>
      </c>
      <c r="O311" s="1">
        <f>N311*(1+Control_Panel!$B$2)</f>
        <v>11.1</v>
      </c>
      <c r="P311" s="12">
        <f t="shared" si="77"/>
        <v>6.006006006006006E-2</v>
      </c>
      <c r="Q311" t="str" cm="1">
        <f t="array" ref="Q311">_xlfn.IFS(P311&lt;0.2,"Stable",P311&lt;=0.5,"Moderate",P311&gt;0.5,"Highly veriable")</f>
        <v>Stable</v>
      </c>
      <c r="R311" s="1">
        <f t="shared" si="78"/>
        <v>34.641016151377542</v>
      </c>
      <c r="S311" s="1">
        <f t="shared" si="79"/>
        <v>48.741016151377544</v>
      </c>
      <c r="T311" s="1">
        <f t="shared" si="80"/>
        <v>841.25898384862251</v>
      </c>
      <c r="U311" t="str">
        <f t="shared" si="81"/>
        <v xml:space="preserve"> Safe</v>
      </c>
      <c r="V311">
        <f t="shared" si="82"/>
        <v>3996</v>
      </c>
      <c r="W311" s="9">
        <f t="shared" si="83"/>
        <v>544095.36</v>
      </c>
      <c r="Y311">
        <f t="shared" si="84"/>
        <v>1.2198628821838385E-3</v>
      </c>
      <c r="Z311" s="12">
        <f t="shared" si="94"/>
        <v>0.87068262353903958</v>
      </c>
      <c r="AA311" t="str">
        <f t="shared" si="85"/>
        <v>B</v>
      </c>
      <c r="AB311" t="str">
        <f t="shared" si="86"/>
        <v>X</v>
      </c>
      <c r="AC311" t="str">
        <f t="shared" si="87"/>
        <v>BX</v>
      </c>
      <c r="AD311" t="str">
        <f t="shared" si="88"/>
        <v>Standard Control</v>
      </c>
      <c r="AE311" t="str">
        <f t="shared" si="89"/>
        <v>Weekly</v>
      </c>
      <c r="AF311" t="str">
        <f t="shared" si="90"/>
        <v>Standard Replenishment</v>
      </c>
      <c r="AG311" t="str">
        <f t="shared" si="91"/>
        <v>Low</v>
      </c>
      <c r="AH311">
        <f t="shared" si="92"/>
        <v>30</v>
      </c>
      <c r="AI311" t="str">
        <f t="shared" si="93"/>
        <v>Low</v>
      </c>
    </row>
    <row r="312" spans="1:35">
      <c r="A312" t="s">
        <v>462</v>
      </c>
      <c r="B312" t="s">
        <v>40</v>
      </c>
      <c r="C312" t="s">
        <v>15</v>
      </c>
      <c r="D312" t="s">
        <v>25</v>
      </c>
      <c r="E312">
        <v>948</v>
      </c>
      <c r="F312">
        <v>151</v>
      </c>
      <c r="G312">
        <v>24</v>
      </c>
      <c r="H312">
        <v>27</v>
      </c>
      <c r="I312">
        <v>298.94</v>
      </c>
      <c r="J312">
        <v>0.21</v>
      </c>
      <c r="K312">
        <v>959</v>
      </c>
      <c r="L312">
        <v>0.71</v>
      </c>
      <c r="M312">
        <v>7</v>
      </c>
      <c r="N312" s="1">
        <f t="shared" si="76"/>
        <v>5.0333333333333332</v>
      </c>
      <c r="O312" s="1">
        <f>N312*(1+Control_Panel!$B$2)</f>
        <v>5.0333333333333332</v>
      </c>
      <c r="P312" s="12">
        <f t="shared" si="77"/>
        <v>0.15894039735099338</v>
      </c>
      <c r="Q312" t="str" cm="1">
        <f t="array" ref="Q312">_xlfn.IFS(P312&lt;0.2,"Stable",P312&lt;=0.5,"Moderate",P312&gt;0.5,"Highly veriable")</f>
        <v>Stable</v>
      </c>
      <c r="R312" s="1">
        <f t="shared" si="78"/>
        <v>124.70765814495917</v>
      </c>
      <c r="S312" s="1">
        <f t="shared" si="79"/>
        <v>156.7409914782925</v>
      </c>
      <c r="T312" s="1">
        <f t="shared" si="80"/>
        <v>791.25900852170753</v>
      </c>
      <c r="U312" t="str">
        <f t="shared" si="81"/>
        <v xml:space="preserve"> Safe</v>
      </c>
      <c r="V312">
        <f t="shared" si="82"/>
        <v>1812</v>
      </c>
      <c r="W312" s="9">
        <f t="shared" si="83"/>
        <v>541679.28</v>
      </c>
      <c r="Y312">
        <f t="shared" si="84"/>
        <v>1.2144460260055637E-3</v>
      </c>
      <c r="Z312" s="12">
        <f t="shared" si="94"/>
        <v>0.87189706956504509</v>
      </c>
      <c r="AA312" t="str">
        <f t="shared" si="85"/>
        <v>B</v>
      </c>
      <c r="AB312" t="str">
        <f t="shared" si="86"/>
        <v>X</v>
      </c>
      <c r="AC312" t="str">
        <f t="shared" si="87"/>
        <v>BX</v>
      </c>
      <c r="AD312" t="str">
        <f t="shared" si="88"/>
        <v>Standard Control</v>
      </c>
      <c r="AE312" t="str">
        <f t="shared" si="89"/>
        <v>Weekly</v>
      </c>
      <c r="AF312" t="str">
        <f t="shared" si="90"/>
        <v>Standard Replenishment</v>
      </c>
      <c r="AG312" t="str">
        <f t="shared" si="91"/>
        <v>Low</v>
      </c>
      <c r="AH312">
        <f t="shared" si="92"/>
        <v>40</v>
      </c>
      <c r="AI312" t="str">
        <f t="shared" si="93"/>
        <v>Low</v>
      </c>
    </row>
    <row r="313" spans="1:35">
      <c r="A313" t="s">
        <v>406</v>
      </c>
      <c r="B313" t="s">
        <v>18</v>
      </c>
      <c r="C313" t="s">
        <v>22</v>
      </c>
      <c r="D313" t="s">
        <v>23</v>
      </c>
      <c r="E313">
        <v>270</v>
      </c>
      <c r="F313">
        <v>325</v>
      </c>
      <c r="G313">
        <v>25</v>
      </c>
      <c r="H313">
        <v>16</v>
      </c>
      <c r="I313">
        <v>138.78</v>
      </c>
      <c r="J313">
        <v>0.18</v>
      </c>
      <c r="K313">
        <v>925</v>
      </c>
      <c r="L313">
        <v>0.79</v>
      </c>
      <c r="M313">
        <v>7</v>
      </c>
      <c r="N313" s="1">
        <f t="shared" si="76"/>
        <v>10.833333333333334</v>
      </c>
      <c r="O313" s="1">
        <f>N313*(1+Control_Panel!$B$2)</f>
        <v>10.833333333333334</v>
      </c>
      <c r="P313" s="12">
        <f t="shared" si="77"/>
        <v>7.6923076923076927E-2</v>
      </c>
      <c r="Q313" t="str" cm="1">
        <f t="array" ref="Q313">_xlfn.IFS(P313&lt;0.2,"Stable",P313&lt;=0.5,"Moderate",P313&gt;0.5,"Highly veriable")</f>
        <v>Stable</v>
      </c>
      <c r="R313" s="1">
        <f t="shared" si="78"/>
        <v>100</v>
      </c>
      <c r="S313" s="1">
        <f t="shared" si="79"/>
        <v>126.83333333333334</v>
      </c>
      <c r="T313" s="1">
        <f t="shared" si="80"/>
        <v>143.16666666666666</v>
      </c>
      <c r="U313" t="str">
        <f t="shared" si="81"/>
        <v xml:space="preserve"> Safe</v>
      </c>
      <c r="V313">
        <f t="shared" si="82"/>
        <v>3900</v>
      </c>
      <c r="W313" s="9">
        <f t="shared" si="83"/>
        <v>541242</v>
      </c>
      <c r="Y313">
        <f t="shared" si="84"/>
        <v>1.2134656433735165E-3</v>
      </c>
      <c r="Z313" s="12">
        <f t="shared" si="94"/>
        <v>0.87311053520841864</v>
      </c>
      <c r="AA313" t="str">
        <f t="shared" si="85"/>
        <v>B</v>
      </c>
      <c r="AB313" t="str">
        <f t="shared" si="86"/>
        <v>X</v>
      </c>
      <c r="AC313" t="str">
        <f t="shared" si="87"/>
        <v>BX</v>
      </c>
      <c r="AD313" t="str">
        <f t="shared" si="88"/>
        <v>Standard Control</v>
      </c>
      <c r="AE313" t="str">
        <f t="shared" si="89"/>
        <v>Weekly</v>
      </c>
      <c r="AF313" t="str">
        <f t="shared" si="90"/>
        <v>Standard Replenishment</v>
      </c>
      <c r="AG313" t="str">
        <f t="shared" si="91"/>
        <v>Low</v>
      </c>
      <c r="AH313">
        <f t="shared" si="92"/>
        <v>40</v>
      </c>
      <c r="AI313" t="str">
        <f t="shared" si="93"/>
        <v>Low</v>
      </c>
    </row>
    <row r="314" spans="1:35">
      <c r="A314" t="s">
        <v>93</v>
      </c>
      <c r="B314" t="s">
        <v>18</v>
      </c>
      <c r="C314" t="s">
        <v>15</v>
      </c>
      <c r="D314" t="s">
        <v>19</v>
      </c>
      <c r="E314">
        <v>465</v>
      </c>
      <c r="F314">
        <v>180</v>
      </c>
      <c r="G314">
        <v>7</v>
      </c>
      <c r="H314">
        <v>9</v>
      </c>
      <c r="I314">
        <v>247.07</v>
      </c>
      <c r="J314">
        <v>0.21</v>
      </c>
      <c r="K314">
        <v>857</v>
      </c>
      <c r="L314">
        <v>0.99</v>
      </c>
      <c r="M314">
        <v>4</v>
      </c>
      <c r="N314" s="1">
        <f t="shared" si="76"/>
        <v>6</v>
      </c>
      <c r="O314" s="1">
        <f>N314*(1+Control_Panel!$B$2)</f>
        <v>6</v>
      </c>
      <c r="P314" s="12">
        <f t="shared" si="77"/>
        <v>3.888888888888889E-2</v>
      </c>
      <c r="Q314" t="str" cm="1">
        <f t="array" ref="Q314">_xlfn.IFS(P314&lt;0.2,"Stable",P314&lt;=0.5,"Moderate",P314&gt;0.5,"Highly veriable")</f>
        <v>Stable</v>
      </c>
      <c r="R314" s="1">
        <f t="shared" si="78"/>
        <v>21</v>
      </c>
      <c r="S314" s="1">
        <f t="shared" si="79"/>
        <v>36</v>
      </c>
      <c r="T314" s="1">
        <f t="shared" si="80"/>
        <v>429</v>
      </c>
      <c r="U314" t="str">
        <f t="shared" si="81"/>
        <v xml:space="preserve"> Safe</v>
      </c>
      <c r="V314">
        <f t="shared" si="82"/>
        <v>2160</v>
      </c>
      <c r="W314" s="9">
        <f t="shared" si="83"/>
        <v>533671.19999999995</v>
      </c>
      <c r="Y314">
        <f t="shared" si="84"/>
        <v>1.1964918946754254E-3</v>
      </c>
      <c r="Z314" s="12">
        <f t="shared" si="94"/>
        <v>0.87430702710309405</v>
      </c>
      <c r="AA314" t="str">
        <f t="shared" si="85"/>
        <v>B</v>
      </c>
      <c r="AB314" t="str">
        <f t="shared" si="86"/>
        <v>X</v>
      </c>
      <c r="AC314" t="str">
        <f t="shared" si="87"/>
        <v>BX</v>
      </c>
      <c r="AD314" t="str">
        <f t="shared" si="88"/>
        <v>Standard Control</v>
      </c>
      <c r="AE314" t="str">
        <f t="shared" si="89"/>
        <v>Weekly</v>
      </c>
      <c r="AF314" t="str">
        <f t="shared" si="90"/>
        <v>Standard Replenishment</v>
      </c>
      <c r="AG314" t="str">
        <f t="shared" si="91"/>
        <v>Low</v>
      </c>
      <c r="AH314">
        <f t="shared" si="92"/>
        <v>30</v>
      </c>
      <c r="AI314" t="str">
        <f t="shared" si="93"/>
        <v>Low</v>
      </c>
    </row>
    <row r="315" spans="1:35">
      <c r="A315" t="s">
        <v>471</v>
      </c>
      <c r="B315" t="s">
        <v>36</v>
      </c>
      <c r="C315" t="s">
        <v>22</v>
      </c>
      <c r="D315" t="s">
        <v>19</v>
      </c>
      <c r="E315">
        <v>740</v>
      </c>
      <c r="F315">
        <v>97</v>
      </c>
      <c r="G315">
        <v>86</v>
      </c>
      <c r="H315">
        <v>21</v>
      </c>
      <c r="I315">
        <v>457.6</v>
      </c>
      <c r="J315">
        <v>0.11</v>
      </c>
      <c r="K315">
        <v>672</v>
      </c>
      <c r="L315">
        <v>0.71</v>
      </c>
      <c r="M315">
        <v>2</v>
      </c>
      <c r="N315" s="1">
        <f t="shared" si="76"/>
        <v>3.2333333333333334</v>
      </c>
      <c r="O315" s="1">
        <f>N315*(1+Control_Panel!$B$2)</f>
        <v>3.2333333333333334</v>
      </c>
      <c r="P315" s="12">
        <f t="shared" si="77"/>
        <v>0.88659793814432986</v>
      </c>
      <c r="Q315" t="str" cm="1">
        <f t="array" ref="Q315">_xlfn.IFS(P315&lt;0.2,"Stable",P315&lt;=0.5,"Moderate",P315&gt;0.5,"Highly veriable")</f>
        <v>Highly veriable</v>
      </c>
      <c r="R315" s="1">
        <f t="shared" si="78"/>
        <v>394.10150976620224</v>
      </c>
      <c r="S315" s="1">
        <f t="shared" si="79"/>
        <v>418.33484309953559</v>
      </c>
      <c r="T315" s="1">
        <f t="shared" si="80"/>
        <v>321.66515690046441</v>
      </c>
      <c r="U315" t="str">
        <f t="shared" si="81"/>
        <v xml:space="preserve"> Risk</v>
      </c>
      <c r="V315">
        <f t="shared" si="82"/>
        <v>1164</v>
      </c>
      <c r="W315" s="9">
        <f t="shared" si="83"/>
        <v>532646.40000000002</v>
      </c>
      <c r="Y315">
        <f t="shared" si="84"/>
        <v>1.194194291031715E-3</v>
      </c>
      <c r="Z315" s="12">
        <f t="shared" si="94"/>
        <v>0.87550122139412578</v>
      </c>
      <c r="AA315" t="str">
        <f t="shared" si="85"/>
        <v>B</v>
      </c>
      <c r="AB315" t="str">
        <f t="shared" si="86"/>
        <v>Z</v>
      </c>
      <c r="AC315" t="str">
        <f t="shared" si="87"/>
        <v>BZ</v>
      </c>
      <c r="AD315" t="str">
        <f t="shared" si="88"/>
        <v>Risk Monitoring</v>
      </c>
      <c r="AE315" t="str">
        <f t="shared" si="89"/>
        <v>Weekly Risk Review</v>
      </c>
      <c r="AF315" t="str">
        <f t="shared" si="90"/>
        <v>Monitor Demand Variability</v>
      </c>
      <c r="AG315" t="str">
        <f t="shared" si="91"/>
        <v>Medium</v>
      </c>
      <c r="AH315">
        <f t="shared" si="92"/>
        <v>30</v>
      </c>
      <c r="AI315" t="str">
        <f t="shared" si="93"/>
        <v>Low</v>
      </c>
    </row>
    <row r="316" spans="1:35">
      <c r="A316" t="s">
        <v>187</v>
      </c>
      <c r="B316" t="s">
        <v>34</v>
      </c>
      <c r="C316" t="s">
        <v>22</v>
      </c>
      <c r="D316" t="s">
        <v>41</v>
      </c>
      <c r="E316">
        <v>680</v>
      </c>
      <c r="F316">
        <v>459</v>
      </c>
      <c r="G316">
        <v>11</v>
      </c>
      <c r="H316">
        <v>22</v>
      </c>
      <c r="I316">
        <v>96.18</v>
      </c>
      <c r="J316">
        <v>0.11</v>
      </c>
      <c r="K316">
        <v>247</v>
      </c>
      <c r="L316">
        <v>0.94</v>
      </c>
      <c r="M316">
        <v>10</v>
      </c>
      <c r="N316" s="1">
        <f t="shared" si="76"/>
        <v>15.3</v>
      </c>
      <c r="O316" s="1">
        <f>N316*(1+Control_Panel!$B$2)</f>
        <v>15.3</v>
      </c>
      <c r="P316" s="12">
        <f t="shared" si="77"/>
        <v>2.3965141612200435E-2</v>
      </c>
      <c r="Q316" t="str" cm="1">
        <f t="array" ref="Q316">_xlfn.IFS(P316&lt;0.2,"Stable",P316&lt;=0.5,"Moderate",P316&gt;0.5,"Highly veriable")</f>
        <v>Stable</v>
      </c>
      <c r="R316" s="1">
        <f t="shared" si="78"/>
        <v>51.59457335805773</v>
      </c>
      <c r="S316" s="1">
        <f t="shared" si="79"/>
        <v>88.894573358057727</v>
      </c>
      <c r="T316" s="1">
        <f t="shared" si="80"/>
        <v>591.10542664194224</v>
      </c>
      <c r="U316" t="str">
        <f t="shared" si="81"/>
        <v xml:space="preserve"> Safe</v>
      </c>
      <c r="V316">
        <f t="shared" si="82"/>
        <v>5508</v>
      </c>
      <c r="W316" s="9">
        <f t="shared" si="83"/>
        <v>529759.44000000006</v>
      </c>
      <c r="Y316">
        <f t="shared" si="84"/>
        <v>1.1877217209543863E-3</v>
      </c>
      <c r="Z316" s="12">
        <f t="shared" si="94"/>
        <v>0.87668894311508017</v>
      </c>
      <c r="AA316" t="str">
        <f t="shared" si="85"/>
        <v>B</v>
      </c>
      <c r="AB316" t="str">
        <f t="shared" si="86"/>
        <v>X</v>
      </c>
      <c r="AC316" t="str">
        <f t="shared" si="87"/>
        <v>BX</v>
      </c>
      <c r="AD316" t="str">
        <f t="shared" si="88"/>
        <v>Standard Control</v>
      </c>
      <c r="AE316" t="str">
        <f t="shared" si="89"/>
        <v>Weekly</v>
      </c>
      <c r="AF316" t="str">
        <f t="shared" si="90"/>
        <v>Standard Replenishment</v>
      </c>
      <c r="AG316" t="str">
        <f t="shared" si="91"/>
        <v>Low</v>
      </c>
      <c r="AH316">
        <f t="shared" si="92"/>
        <v>50</v>
      </c>
      <c r="AI316" t="str">
        <f t="shared" si="93"/>
        <v>Medium</v>
      </c>
    </row>
    <row r="317" spans="1:35">
      <c r="A317" t="s">
        <v>47</v>
      </c>
      <c r="B317" t="s">
        <v>38</v>
      </c>
      <c r="C317" t="s">
        <v>22</v>
      </c>
      <c r="D317" t="s">
        <v>25</v>
      </c>
      <c r="E317">
        <v>159</v>
      </c>
      <c r="F317">
        <v>304</v>
      </c>
      <c r="G317">
        <v>51</v>
      </c>
      <c r="H317">
        <v>10</v>
      </c>
      <c r="I317">
        <v>145.09</v>
      </c>
      <c r="J317">
        <v>0.14000000000000001</v>
      </c>
      <c r="K317">
        <v>977</v>
      </c>
      <c r="L317">
        <v>0.88</v>
      </c>
      <c r="M317">
        <v>7</v>
      </c>
      <c r="N317" s="1">
        <f t="shared" si="76"/>
        <v>10.133333333333333</v>
      </c>
      <c r="O317" s="1">
        <f>N317*(1+Control_Panel!$B$2)</f>
        <v>10.133333333333333</v>
      </c>
      <c r="P317" s="12">
        <f t="shared" si="77"/>
        <v>0.16776315789473684</v>
      </c>
      <c r="Q317" t="str" cm="1">
        <f t="array" ref="Q317">_xlfn.IFS(P317&lt;0.2,"Stable",P317&lt;=0.5,"Moderate",P317&gt;0.5,"Highly veriable")</f>
        <v>Stable</v>
      </c>
      <c r="R317" s="1">
        <f t="shared" si="78"/>
        <v>161.27616066858735</v>
      </c>
      <c r="S317" s="1">
        <f t="shared" si="79"/>
        <v>181.40949400192068</v>
      </c>
      <c r="T317" s="1">
        <f t="shared" si="80"/>
        <v>-22.409494001920677</v>
      </c>
      <c r="U317" t="str">
        <f t="shared" si="81"/>
        <v xml:space="preserve"> Need to Order</v>
      </c>
      <c r="V317">
        <f t="shared" si="82"/>
        <v>3648</v>
      </c>
      <c r="W317" s="9">
        <f t="shared" si="83"/>
        <v>529288.32000000007</v>
      </c>
      <c r="Y317">
        <f t="shared" si="84"/>
        <v>1.1866654689748539E-3</v>
      </c>
      <c r="Z317" s="12">
        <f t="shared" si="94"/>
        <v>0.877875608584055</v>
      </c>
      <c r="AA317" t="str">
        <f t="shared" si="85"/>
        <v>B</v>
      </c>
      <c r="AB317" t="str">
        <f t="shared" si="86"/>
        <v>X</v>
      </c>
      <c r="AC317" t="str">
        <f t="shared" si="87"/>
        <v>BX</v>
      </c>
      <c r="AD317" t="str">
        <f t="shared" si="88"/>
        <v>Standard Control</v>
      </c>
      <c r="AE317" t="str">
        <f t="shared" si="89"/>
        <v>Weekly</v>
      </c>
      <c r="AF317" t="str">
        <f t="shared" si="90"/>
        <v>Standard Replenishment</v>
      </c>
      <c r="AG317" t="str">
        <f t="shared" si="91"/>
        <v>Low</v>
      </c>
      <c r="AH317">
        <f t="shared" si="92"/>
        <v>40</v>
      </c>
      <c r="AI317" t="str">
        <f t="shared" si="93"/>
        <v>Low</v>
      </c>
    </row>
    <row r="318" spans="1:35">
      <c r="A318" t="s">
        <v>285</v>
      </c>
      <c r="B318" t="s">
        <v>29</v>
      </c>
      <c r="C318" t="s">
        <v>22</v>
      </c>
      <c r="D318" t="s">
        <v>25</v>
      </c>
      <c r="E318">
        <v>654</v>
      </c>
      <c r="F318">
        <v>179</v>
      </c>
      <c r="G318">
        <v>35</v>
      </c>
      <c r="H318">
        <v>23</v>
      </c>
      <c r="I318">
        <v>242.82</v>
      </c>
      <c r="J318">
        <v>0.16</v>
      </c>
      <c r="K318">
        <v>137</v>
      </c>
      <c r="L318">
        <v>0.74</v>
      </c>
      <c r="M318">
        <v>1</v>
      </c>
      <c r="N318" s="1">
        <f t="shared" si="76"/>
        <v>5.9666666666666668</v>
      </c>
      <c r="O318" s="1">
        <f>N318*(1+Control_Panel!$B$2)</f>
        <v>5.9666666666666668</v>
      </c>
      <c r="P318" s="12">
        <f t="shared" si="77"/>
        <v>0.19553072625698323</v>
      </c>
      <c r="Q318" t="str" cm="1">
        <f t="array" ref="Q318">_xlfn.IFS(P318&lt;0.2,"Stable",P318&lt;=0.5,"Moderate",P318&gt;0.5,"Highly veriable")</f>
        <v>Stable</v>
      </c>
      <c r="R318" s="1">
        <f t="shared" si="78"/>
        <v>167.85410331594517</v>
      </c>
      <c r="S318" s="1">
        <f t="shared" si="79"/>
        <v>196.82076998261184</v>
      </c>
      <c r="T318" s="1">
        <f t="shared" si="80"/>
        <v>457.17923001738814</v>
      </c>
      <c r="U318" t="str">
        <f t="shared" si="81"/>
        <v xml:space="preserve"> Safe</v>
      </c>
      <c r="V318">
        <f t="shared" si="82"/>
        <v>2148</v>
      </c>
      <c r="W318" s="9">
        <f t="shared" si="83"/>
        <v>521577.36</v>
      </c>
      <c r="Y318">
        <f t="shared" si="84"/>
        <v>1.169377481277248E-3</v>
      </c>
      <c r="Z318" s="12">
        <f t="shared" si="94"/>
        <v>0.87904498606533221</v>
      </c>
      <c r="AA318" t="str">
        <f t="shared" si="85"/>
        <v>B</v>
      </c>
      <c r="AB318" t="str">
        <f t="shared" si="86"/>
        <v>X</v>
      </c>
      <c r="AC318" t="str">
        <f t="shared" si="87"/>
        <v>BX</v>
      </c>
      <c r="AD318" t="str">
        <f t="shared" si="88"/>
        <v>Standard Control</v>
      </c>
      <c r="AE318" t="str">
        <f t="shared" si="89"/>
        <v>Weekly</v>
      </c>
      <c r="AF318" t="str">
        <f t="shared" si="90"/>
        <v>Standard Replenishment</v>
      </c>
      <c r="AG318" t="str">
        <f t="shared" si="91"/>
        <v>Low</v>
      </c>
      <c r="AH318">
        <f t="shared" si="92"/>
        <v>30</v>
      </c>
      <c r="AI318" t="str">
        <f t="shared" si="93"/>
        <v>Low</v>
      </c>
    </row>
    <row r="319" spans="1:35">
      <c r="A319" t="s">
        <v>188</v>
      </c>
      <c r="B319" t="s">
        <v>29</v>
      </c>
      <c r="C319" t="s">
        <v>22</v>
      </c>
      <c r="D319" t="s">
        <v>19</v>
      </c>
      <c r="E319">
        <v>79</v>
      </c>
      <c r="F319">
        <v>314</v>
      </c>
      <c r="G319">
        <v>50</v>
      </c>
      <c r="H319">
        <v>8</v>
      </c>
      <c r="I319">
        <v>136.63999999999999</v>
      </c>
      <c r="J319">
        <v>7.0000000000000007E-2</v>
      </c>
      <c r="K319">
        <v>532</v>
      </c>
      <c r="L319">
        <v>0.79</v>
      </c>
      <c r="M319">
        <v>10</v>
      </c>
      <c r="N319" s="1">
        <f t="shared" si="76"/>
        <v>10.466666666666667</v>
      </c>
      <c r="O319" s="1">
        <f>N319*(1+Control_Panel!$B$2)</f>
        <v>10.466666666666667</v>
      </c>
      <c r="P319" s="12">
        <f t="shared" si="77"/>
        <v>0.15923566878980891</v>
      </c>
      <c r="Q319" t="str" cm="1">
        <f t="array" ref="Q319">_xlfn.IFS(P319&lt;0.2,"Stable",P319&lt;=0.5,"Moderate",P319&gt;0.5,"Highly veriable")</f>
        <v>Stable</v>
      </c>
      <c r="R319" s="1">
        <f t="shared" si="78"/>
        <v>141.42135623730951</v>
      </c>
      <c r="S319" s="1">
        <f t="shared" si="79"/>
        <v>159.88802290397618</v>
      </c>
      <c r="T319" s="1">
        <f t="shared" si="80"/>
        <v>-80.888022903976179</v>
      </c>
      <c r="U319" t="str">
        <f t="shared" si="81"/>
        <v xml:space="preserve"> Need to Order</v>
      </c>
      <c r="V319">
        <f t="shared" si="82"/>
        <v>3768</v>
      </c>
      <c r="W319" s="9">
        <f t="shared" si="83"/>
        <v>514859.51999999996</v>
      </c>
      <c r="Y319">
        <f t="shared" si="84"/>
        <v>1.1543160706001749E-3</v>
      </c>
      <c r="Z319" s="12">
        <f t="shared" si="94"/>
        <v>0.88019930213593234</v>
      </c>
      <c r="AA319" t="str">
        <f t="shared" si="85"/>
        <v>B</v>
      </c>
      <c r="AB319" t="str">
        <f t="shared" si="86"/>
        <v>X</v>
      </c>
      <c r="AC319" t="str">
        <f t="shared" si="87"/>
        <v>BX</v>
      </c>
      <c r="AD319" t="str">
        <f t="shared" si="88"/>
        <v>Standard Control</v>
      </c>
      <c r="AE319" t="str">
        <f t="shared" si="89"/>
        <v>Weekly</v>
      </c>
      <c r="AF319" t="str">
        <f t="shared" si="90"/>
        <v>Standard Replenishment</v>
      </c>
      <c r="AG319" t="str">
        <f t="shared" si="91"/>
        <v>Low</v>
      </c>
      <c r="AH319">
        <f t="shared" si="92"/>
        <v>50</v>
      </c>
      <c r="AI319" t="str">
        <f t="shared" si="93"/>
        <v>Medium</v>
      </c>
    </row>
    <row r="320" spans="1:35">
      <c r="A320" t="s">
        <v>419</v>
      </c>
      <c r="B320" t="s">
        <v>34</v>
      </c>
      <c r="C320" t="s">
        <v>15</v>
      </c>
      <c r="D320" t="s">
        <v>19</v>
      </c>
      <c r="E320">
        <v>353</v>
      </c>
      <c r="F320">
        <v>87</v>
      </c>
      <c r="G320">
        <v>29</v>
      </c>
      <c r="H320">
        <v>22</v>
      </c>
      <c r="I320">
        <v>488.91</v>
      </c>
      <c r="J320">
        <v>0.08</v>
      </c>
      <c r="K320">
        <v>481</v>
      </c>
      <c r="L320">
        <v>0.77</v>
      </c>
      <c r="M320">
        <v>2</v>
      </c>
      <c r="N320" s="1">
        <f t="shared" si="76"/>
        <v>2.9</v>
      </c>
      <c r="O320" s="1">
        <f>N320*(1+Control_Panel!$B$2)</f>
        <v>2.9</v>
      </c>
      <c r="P320" s="12">
        <f t="shared" si="77"/>
        <v>0.33333333333333331</v>
      </c>
      <c r="Q320" t="str" cm="1">
        <f t="array" ref="Q320">_xlfn.IFS(P320&lt;0.2,"Stable",P320&lt;=0.5,"Moderate",P320&gt;0.5,"Highly veriable")</f>
        <v>Moderate</v>
      </c>
      <c r="R320" s="1">
        <f t="shared" si="78"/>
        <v>136.02205703487945</v>
      </c>
      <c r="S320" s="1">
        <f t="shared" si="79"/>
        <v>160.92205703487946</v>
      </c>
      <c r="T320" s="1">
        <f t="shared" si="80"/>
        <v>192.07794296512054</v>
      </c>
      <c r="U320" t="str">
        <f t="shared" si="81"/>
        <v xml:space="preserve"> Safe</v>
      </c>
      <c r="V320">
        <f t="shared" si="82"/>
        <v>1044</v>
      </c>
      <c r="W320" s="9">
        <f t="shared" si="83"/>
        <v>510422.04000000004</v>
      </c>
      <c r="Y320">
        <f t="shared" si="84"/>
        <v>1.144367231590717E-3</v>
      </c>
      <c r="Z320" s="12">
        <f t="shared" si="94"/>
        <v>0.88134366936752306</v>
      </c>
      <c r="AA320" t="str">
        <f t="shared" si="85"/>
        <v>B</v>
      </c>
      <c r="AB320" t="str">
        <f t="shared" si="86"/>
        <v>Y</v>
      </c>
      <c r="AC320" t="str">
        <f t="shared" si="87"/>
        <v>BY</v>
      </c>
      <c r="AD320" t="str">
        <f t="shared" si="88"/>
        <v>Periodic Review</v>
      </c>
      <c r="AE320" t="str">
        <f t="shared" si="89"/>
        <v>Bi-Weekly</v>
      </c>
      <c r="AF320" t="str">
        <f t="shared" si="90"/>
        <v>Periodic Review</v>
      </c>
      <c r="AG320" t="str">
        <f t="shared" si="91"/>
        <v>Low</v>
      </c>
      <c r="AH320">
        <f t="shared" si="92"/>
        <v>30</v>
      </c>
      <c r="AI320" t="str">
        <f t="shared" si="93"/>
        <v>Low</v>
      </c>
    </row>
    <row r="321" spans="1:35">
      <c r="A321" t="s">
        <v>191</v>
      </c>
      <c r="B321" t="s">
        <v>21</v>
      </c>
      <c r="C321" t="s">
        <v>22</v>
      </c>
      <c r="D321" t="s">
        <v>16</v>
      </c>
      <c r="E321">
        <v>429</v>
      </c>
      <c r="F321">
        <v>106</v>
      </c>
      <c r="G321">
        <v>40</v>
      </c>
      <c r="H321">
        <v>19</v>
      </c>
      <c r="I321">
        <v>400.58</v>
      </c>
      <c r="J321">
        <v>0.18</v>
      </c>
      <c r="K321">
        <v>203</v>
      </c>
      <c r="L321">
        <v>0.79</v>
      </c>
      <c r="M321">
        <v>9</v>
      </c>
      <c r="N321" s="1">
        <f t="shared" si="76"/>
        <v>3.5333333333333332</v>
      </c>
      <c r="O321" s="1">
        <f>N321*(1+Control_Panel!$B$2)</f>
        <v>3.5333333333333332</v>
      </c>
      <c r="P321" s="12">
        <f t="shared" si="77"/>
        <v>0.37735849056603776</v>
      </c>
      <c r="Q321" t="str" cm="1">
        <f t="array" ref="Q321">_xlfn.IFS(P321&lt;0.2,"Stable",P321&lt;=0.5,"Moderate",P321&gt;0.5,"Highly veriable")</f>
        <v>Moderate</v>
      </c>
      <c r="R321" s="1">
        <f t="shared" si="78"/>
        <v>174.35595774162695</v>
      </c>
      <c r="S321" s="1">
        <f t="shared" si="79"/>
        <v>196.88929107496028</v>
      </c>
      <c r="T321" s="1">
        <f t="shared" si="80"/>
        <v>232.11070892503972</v>
      </c>
      <c r="U321" t="str">
        <f t="shared" si="81"/>
        <v xml:space="preserve"> Safe</v>
      </c>
      <c r="V321">
        <f t="shared" si="82"/>
        <v>1272</v>
      </c>
      <c r="W321" s="9">
        <f t="shared" si="83"/>
        <v>509537.75999999995</v>
      </c>
      <c r="Y321">
        <f t="shared" si="84"/>
        <v>1.1423846740672389E-3</v>
      </c>
      <c r="Z321" s="12">
        <f t="shared" si="94"/>
        <v>0.88248605404159031</v>
      </c>
      <c r="AA321" t="str">
        <f t="shared" si="85"/>
        <v>B</v>
      </c>
      <c r="AB321" t="str">
        <f t="shared" si="86"/>
        <v>Y</v>
      </c>
      <c r="AC321" t="str">
        <f t="shared" si="87"/>
        <v>BY</v>
      </c>
      <c r="AD321" t="str">
        <f t="shared" si="88"/>
        <v>Periodic Review</v>
      </c>
      <c r="AE321" t="str">
        <f t="shared" si="89"/>
        <v>Bi-Weekly</v>
      </c>
      <c r="AF321" t="str">
        <f t="shared" si="90"/>
        <v>Periodic Review</v>
      </c>
      <c r="AG321" t="str">
        <f t="shared" si="91"/>
        <v>Low</v>
      </c>
      <c r="AH321">
        <f t="shared" si="92"/>
        <v>50</v>
      </c>
      <c r="AI321" t="str">
        <f t="shared" si="93"/>
        <v>Medium</v>
      </c>
    </row>
    <row r="322" spans="1:35">
      <c r="A322" t="s">
        <v>257</v>
      </c>
      <c r="B322" t="s">
        <v>18</v>
      </c>
      <c r="C322" t="s">
        <v>22</v>
      </c>
      <c r="D322" t="s">
        <v>41</v>
      </c>
      <c r="E322">
        <v>655</v>
      </c>
      <c r="F322">
        <v>105</v>
      </c>
      <c r="G322">
        <v>69</v>
      </c>
      <c r="H322">
        <v>22</v>
      </c>
      <c r="I322">
        <v>400.27</v>
      </c>
      <c r="J322">
        <v>0.18</v>
      </c>
      <c r="K322">
        <v>700</v>
      </c>
      <c r="L322">
        <v>0.85</v>
      </c>
      <c r="M322">
        <v>5</v>
      </c>
      <c r="N322" s="1">
        <f t="shared" ref="N322:N385" si="95">F322/30</f>
        <v>3.5</v>
      </c>
      <c r="O322" s="1">
        <f>N322*(1+Control_Panel!$B$2)</f>
        <v>3.5</v>
      </c>
      <c r="P322" s="12">
        <f t="shared" ref="P322:P385" si="96">G322/F322</f>
        <v>0.65714285714285714</v>
      </c>
      <c r="Q322" t="str" cm="1">
        <f t="array" ref="Q322">_xlfn.IFS(P322&lt;0.2,"Stable",P322&lt;=0.5,"Moderate",P322&gt;0.5,"Highly veriable")</f>
        <v>Highly veriable</v>
      </c>
      <c r="R322" s="1">
        <f t="shared" ref="R322:R385" si="97">G322*SQRT(H322)</f>
        <v>323.63868742781665</v>
      </c>
      <c r="S322" s="1">
        <f t="shared" ref="S322:S385" si="98">O322+H322+R322</f>
        <v>349.13868742781665</v>
      </c>
      <c r="T322" s="1">
        <f t="shared" ref="T322:T385" si="99">E322-S322</f>
        <v>305.86131257218335</v>
      </c>
      <c r="U322" t="str">
        <f t="shared" ref="U322:U385" si="100">IF(T322&lt;0," Need to Order",
   IF(T322&lt;=R322," Risk",
      " Safe"))</f>
        <v xml:space="preserve"> Risk</v>
      </c>
      <c r="V322">
        <f t="shared" ref="V322:V385" si="101">F322*12</f>
        <v>1260</v>
      </c>
      <c r="W322" s="9">
        <f t="shared" ref="W322:W385" si="102">V322*I322</f>
        <v>504340.19999999995</v>
      </c>
      <c r="Y322">
        <f t="shared" si="84"/>
        <v>1.1307317341819889E-3</v>
      </c>
      <c r="Z322" s="12">
        <f t="shared" si="94"/>
        <v>0.8836167857757723</v>
      </c>
      <c r="AA322" t="str">
        <f t="shared" si="85"/>
        <v>B</v>
      </c>
      <c r="AB322" t="str">
        <f t="shared" si="86"/>
        <v>Z</v>
      </c>
      <c r="AC322" t="str">
        <f t="shared" si="87"/>
        <v>BZ</v>
      </c>
      <c r="AD322" t="str">
        <f t="shared" si="88"/>
        <v>Risk Monitoring</v>
      </c>
      <c r="AE322" t="str">
        <f t="shared" si="89"/>
        <v>Weekly Risk Review</v>
      </c>
      <c r="AF322" t="str">
        <f t="shared" si="90"/>
        <v>Monitor Demand Variability</v>
      </c>
      <c r="AG322" t="str">
        <f t="shared" si="91"/>
        <v>Medium</v>
      </c>
      <c r="AH322">
        <f t="shared" si="92"/>
        <v>40</v>
      </c>
      <c r="AI322" t="str">
        <f t="shared" si="93"/>
        <v>Low</v>
      </c>
    </row>
    <row r="323" spans="1:35">
      <c r="A323" t="s">
        <v>425</v>
      </c>
      <c r="B323" t="s">
        <v>21</v>
      </c>
      <c r="C323" t="s">
        <v>22</v>
      </c>
      <c r="D323" t="s">
        <v>19</v>
      </c>
      <c r="E323">
        <v>980</v>
      </c>
      <c r="F323">
        <v>358</v>
      </c>
      <c r="G323">
        <v>51</v>
      </c>
      <c r="H323">
        <v>8</v>
      </c>
      <c r="I323">
        <v>117.34</v>
      </c>
      <c r="J323">
        <v>0.18</v>
      </c>
      <c r="K323">
        <v>435</v>
      </c>
      <c r="L323">
        <v>0.84</v>
      </c>
      <c r="M323">
        <v>6</v>
      </c>
      <c r="N323" s="1">
        <f t="shared" si="95"/>
        <v>11.933333333333334</v>
      </c>
      <c r="O323" s="1">
        <f>N323*(1+Control_Panel!$B$2)</f>
        <v>11.933333333333334</v>
      </c>
      <c r="P323" s="12">
        <f t="shared" si="96"/>
        <v>0.14245810055865921</v>
      </c>
      <c r="Q323" t="str" cm="1">
        <f t="array" ref="Q323">_xlfn.IFS(P323&lt;0.2,"Stable",P323&lt;=0.5,"Moderate",P323&gt;0.5,"Highly veriable")</f>
        <v>Stable</v>
      </c>
      <c r="R323" s="1">
        <f t="shared" si="97"/>
        <v>144.24978336205569</v>
      </c>
      <c r="S323" s="1">
        <f t="shared" si="98"/>
        <v>164.18311669538903</v>
      </c>
      <c r="T323" s="1">
        <f t="shared" si="99"/>
        <v>815.816883304611</v>
      </c>
      <c r="U323" t="str">
        <f t="shared" si="100"/>
        <v xml:space="preserve"> Safe</v>
      </c>
      <c r="V323">
        <f t="shared" si="101"/>
        <v>4296</v>
      </c>
      <c r="W323" s="9">
        <f t="shared" si="102"/>
        <v>504092.64</v>
      </c>
      <c r="Y323">
        <f t="shared" ref="Y323:Y386" si="103">W323/$X$3</f>
        <v>1.1301767041682917E-3</v>
      </c>
      <c r="Z323" s="12">
        <f t="shared" si="94"/>
        <v>0.88474696247994056</v>
      </c>
      <c r="AA323" t="str">
        <f t="shared" ref="AA323:AA386" si="104">IF(Z323&lt;=80%,"A",IF(Z323&lt;=95%,"B","C"))</f>
        <v>B</v>
      </c>
      <c r="AB323" t="str">
        <f t="shared" ref="AB323:AB386" si="105">IF(P323&lt;=20%,"X",IF(P323&lt;=50%,"Y","Z"))</f>
        <v>X</v>
      </c>
      <c r="AC323" t="str">
        <f t="shared" ref="AC323:AC386" si="106">AA323&amp;AB323</f>
        <v>BX</v>
      </c>
      <c r="AD323" t="str">
        <f t="shared" ref="AD323:AD386" si="107">IF(AC323="AX","Strict Control",
IF(AC323="AY","Frequent Monitoring",
IF(AC323="AZ","Risk-Control Strategy",
IF(AC323="BX","Standard Control",
IF(AC323="BY","Periodic Review",
IF(AC323="BZ","Risk Monitoring",
IF(AC323="CX","Simplified Bulk Control",
IF(AC323="CY","Low-Priority Monitoring",
IF(AC323="CZ","Minimal Control","Check")))))))))</f>
        <v>Standard Control</v>
      </c>
      <c r="AE323" t="str">
        <f t="shared" ref="AE323:AE386" si="108">IF(AC323="AX","Daily",
IF(AC323="AY","Every 2 Days",
IF(AC323="AZ","Daily + Manager Review",
IF(AC323="BX","Weekly",
IF(AC323="BY","Bi-Weekly",
IF(AC323="BZ","Weekly Risk Review",
IF(AC323="CX","Monthly",
IF(AC323="CY","Monthly Review",
IF(AC323="CZ","Quarterly","Check")))))))))</f>
        <v>Weekly</v>
      </c>
      <c r="AF323" t="str">
        <f t="shared" ref="AF323:AF386" si="109">IF(AC323="AX","Strict Replenishment",
IF(AC323="AY","Frequent Monitoring",
IF(AC323="AZ","Increase Safety Stock",
IF(AC323="BX","Standard Replenishment",
IF(AC323="BY","Periodic Review",
IF(AC323="BZ","Monitor Demand Variability",
IF(AC323="CX","Bulk Ordering",
IF(AC323="CY","Low Priority Monitoring",
IF(AC323="CZ","Reduce Inventory Exposure",
"Check")))))))))</f>
        <v>Standard Replenishment</v>
      </c>
      <c r="AG323" t="str">
        <f t="shared" ref="AG323:AG386" si="110">IF(AC323="AZ","Critical",
IF(AC323="AY","High",
IF(AC323="BZ","Medium",
IF(U323="Need to Order","Medium",
"Low"))))</f>
        <v>Low</v>
      </c>
      <c r="AH323">
        <f t="shared" ref="AH323:AH386" si="111">IF(AC323="AZ",40,
IF(AC323="AY",30,
IF(AC323="AX",20,10)))
+
IF(U323="Need to Order",30,
IF(U323="Risk",15,0))
+
IF(L323&lt;70,20,
IF(L323&lt;85,10,0))
+
IF(M323&gt;7,20,
IF(M323&gt;4,10,0))</f>
        <v>40</v>
      </c>
      <c r="AI323" t="str">
        <f t="shared" ref="AI323:AI386" si="112">IF(AH323&gt;=70,"Critical",
IF(AH323&gt;=60,"High",
IF(AH323&gt;=50,"Medium",
"Low")))</f>
        <v>Low</v>
      </c>
    </row>
    <row r="324" spans="1:35">
      <c r="A324" t="s">
        <v>447</v>
      </c>
      <c r="B324" t="s">
        <v>18</v>
      </c>
      <c r="C324" t="s">
        <v>22</v>
      </c>
      <c r="D324" t="s">
        <v>25</v>
      </c>
      <c r="E324">
        <v>399</v>
      </c>
      <c r="F324">
        <v>241</v>
      </c>
      <c r="G324">
        <v>18</v>
      </c>
      <c r="H324">
        <v>6</v>
      </c>
      <c r="I324">
        <v>174.05</v>
      </c>
      <c r="J324">
        <v>7.0000000000000007E-2</v>
      </c>
      <c r="K324">
        <v>283</v>
      </c>
      <c r="L324">
        <v>0.91</v>
      </c>
      <c r="M324">
        <v>8</v>
      </c>
      <c r="N324" s="1">
        <f t="shared" si="95"/>
        <v>8.0333333333333332</v>
      </c>
      <c r="O324" s="1">
        <f>N324*(1+Control_Panel!$B$2)</f>
        <v>8.0333333333333332</v>
      </c>
      <c r="P324" s="12">
        <f t="shared" si="96"/>
        <v>7.4688796680497924E-2</v>
      </c>
      <c r="Q324" t="str" cm="1">
        <f t="array" ref="Q324">_xlfn.IFS(P324&lt;0.2,"Stable",P324&lt;=0.5,"Moderate",P324&gt;0.5,"Highly veriable")</f>
        <v>Stable</v>
      </c>
      <c r="R324" s="1">
        <f t="shared" si="97"/>
        <v>44.090815370097204</v>
      </c>
      <c r="S324" s="1">
        <f t="shared" si="98"/>
        <v>58.124148703430535</v>
      </c>
      <c r="T324" s="1">
        <f t="shared" si="99"/>
        <v>340.87585129656946</v>
      </c>
      <c r="U324" t="str">
        <f t="shared" si="100"/>
        <v xml:space="preserve"> Safe</v>
      </c>
      <c r="V324">
        <f t="shared" si="101"/>
        <v>2892</v>
      </c>
      <c r="W324" s="9">
        <f t="shared" si="102"/>
        <v>503352.60000000003</v>
      </c>
      <c r="Y324">
        <f t="shared" si="103"/>
        <v>1.1285175330124646E-3</v>
      </c>
      <c r="Z324" s="12">
        <f t="shared" ref="Z324:Z387" si="113">Z323+Y324</f>
        <v>0.88587548001295302</v>
      </c>
      <c r="AA324" t="str">
        <f t="shared" si="104"/>
        <v>B</v>
      </c>
      <c r="AB324" t="str">
        <f t="shared" si="105"/>
        <v>X</v>
      </c>
      <c r="AC324" t="str">
        <f t="shared" si="106"/>
        <v>BX</v>
      </c>
      <c r="AD324" t="str">
        <f t="shared" si="107"/>
        <v>Standard Control</v>
      </c>
      <c r="AE324" t="str">
        <f t="shared" si="108"/>
        <v>Weekly</v>
      </c>
      <c r="AF324" t="str">
        <f t="shared" si="109"/>
        <v>Standard Replenishment</v>
      </c>
      <c r="AG324" t="str">
        <f t="shared" si="110"/>
        <v>Low</v>
      </c>
      <c r="AH324">
        <f t="shared" si="111"/>
        <v>50</v>
      </c>
      <c r="AI324" t="str">
        <f t="shared" si="112"/>
        <v>Medium</v>
      </c>
    </row>
    <row r="325" spans="1:35">
      <c r="A325" t="s">
        <v>326</v>
      </c>
      <c r="B325" t="s">
        <v>14</v>
      </c>
      <c r="C325" t="s">
        <v>15</v>
      </c>
      <c r="D325" t="s">
        <v>25</v>
      </c>
      <c r="E325">
        <v>136</v>
      </c>
      <c r="F325">
        <v>125</v>
      </c>
      <c r="G325">
        <v>78</v>
      </c>
      <c r="H325">
        <v>7</v>
      </c>
      <c r="I325">
        <v>335.25</v>
      </c>
      <c r="J325">
        <v>0.2</v>
      </c>
      <c r="K325">
        <v>656</v>
      </c>
      <c r="L325">
        <v>0.84</v>
      </c>
      <c r="M325">
        <v>4</v>
      </c>
      <c r="N325" s="1">
        <f t="shared" si="95"/>
        <v>4.166666666666667</v>
      </c>
      <c r="O325" s="1">
        <f>N325*(1+Control_Panel!$B$2)</f>
        <v>4.166666666666667</v>
      </c>
      <c r="P325" s="12">
        <f t="shared" si="96"/>
        <v>0.624</v>
      </c>
      <c r="Q325" t="str" cm="1">
        <f t="array" ref="Q325">_xlfn.IFS(P325&lt;0.2,"Stable",P325&lt;=0.5,"Moderate",P325&gt;0.5,"Highly veriable")</f>
        <v>Highly veriable</v>
      </c>
      <c r="R325" s="1">
        <f t="shared" si="97"/>
        <v>206.36860226303807</v>
      </c>
      <c r="S325" s="1">
        <f t="shared" si="98"/>
        <v>217.53526892970473</v>
      </c>
      <c r="T325" s="1">
        <f t="shared" si="99"/>
        <v>-81.535268929704728</v>
      </c>
      <c r="U325" t="str">
        <f t="shared" si="100"/>
        <v xml:space="preserve"> Need to Order</v>
      </c>
      <c r="V325">
        <f t="shared" si="101"/>
        <v>1500</v>
      </c>
      <c r="W325" s="9">
        <f t="shared" si="102"/>
        <v>502875</v>
      </c>
      <c r="Y325">
        <f t="shared" si="103"/>
        <v>1.1274467528600094E-3</v>
      </c>
      <c r="Z325" s="12">
        <f t="shared" si="113"/>
        <v>0.88700292676581305</v>
      </c>
      <c r="AA325" t="str">
        <f t="shared" si="104"/>
        <v>B</v>
      </c>
      <c r="AB325" t="str">
        <f t="shared" si="105"/>
        <v>Z</v>
      </c>
      <c r="AC325" t="str">
        <f t="shared" si="106"/>
        <v>BZ</v>
      </c>
      <c r="AD325" t="str">
        <f t="shared" si="107"/>
        <v>Risk Monitoring</v>
      </c>
      <c r="AE325" t="str">
        <f t="shared" si="108"/>
        <v>Weekly Risk Review</v>
      </c>
      <c r="AF325" t="str">
        <f t="shared" si="109"/>
        <v>Monitor Demand Variability</v>
      </c>
      <c r="AG325" t="str">
        <f t="shared" si="110"/>
        <v>Medium</v>
      </c>
      <c r="AH325">
        <f t="shared" si="111"/>
        <v>30</v>
      </c>
      <c r="AI325" t="str">
        <f t="shared" si="112"/>
        <v>Low</v>
      </c>
    </row>
    <row r="326" spans="1:35">
      <c r="A326" t="s">
        <v>377</v>
      </c>
      <c r="B326" t="s">
        <v>36</v>
      </c>
      <c r="C326" t="s">
        <v>22</v>
      </c>
      <c r="D326" t="s">
        <v>16</v>
      </c>
      <c r="E326">
        <v>681</v>
      </c>
      <c r="F326">
        <v>453</v>
      </c>
      <c r="G326">
        <v>49</v>
      </c>
      <c r="H326">
        <v>1</v>
      </c>
      <c r="I326">
        <v>91.21</v>
      </c>
      <c r="J326">
        <v>0.14000000000000001</v>
      </c>
      <c r="K326">
        <v>924</v>
      </c>
      <c r="L326">
        <v>0.88</v>
      </c>
      <c r="M326">
        <v>10</v>
      </c>
      <c r="N326" s="1">
        <f t="shared" si="95"/>
        <v>15.1</v>
      </c>
      <c r="O326" s="1">
        <f>N326*(1+Control_Panel!$B$2)</f>
        <v>15.1</v>
      </c>
      <c r="P326" s="12">
        <f t="shared" si="96"/>
        <v>0.10816777041942605</v>
      </c>
      <c r="Q326" t="str" cm="1">
        <f t="array" ref="Q326">_xlfn.IFS(P326&lt;0.2,"Stable",P326&lt;=0.5,"Moderate",P326&gt;0.5,"Highly veriable")</f>
        <v>Stable</v>
      </c>
      <c r="R326" s="1">
        <f t="shared" si="97"/>
        <v>49</v>
      </c>
      <c r="S326" s="1">
        <f t="shared" si="98"/>
        <v>65.099999999999994</v>
      </c>
      <c r="T326" s="1">
        <f t="shared" si="99"/>
        <v>615.9</v>
      </c>
      <c r="U326" t="str">
        <f t="shared" si="100"/>
        <v xml:space="preserve"> Safe</v>
      </c>
      <c r="V326">
        <f t="shared" si="101"/>
        <v>5436</v>
      </c>
      <c r="W326" s="9">
        <f t="shared" si="102"/>
        <v>495817.55999999994</v>
      </c>
      <c r="Y326">
        <f t="shared" si="103"/>
        <v>1.1116239583056878E-3</v>
      </c>
      <c r="Z326" s="12">
        <f t="shared" si="113"/>
        <v>0.88811455072411871</v>
      </c>
      <c r="AA326" t="str">
        <f t="shared" si="104"/>
        <v>B</v>
      </c>
      <c r="AB326" t="str">
        <f t="shared" si="105"/>
        <v>X</v>
      </c>
      <c r="AC326" t="str">
        <f t="shared" si="106"/>
        <v>BX</v>
      </c>
      <c r="AD326" t="str">
        <f t="shared" si="107"/>
        <v>Standard Control</v>
      </c>
      <c r="AE326" t="str">
        <f t="shared" si="108"/>
        <v>Weekly</v>
      </c>
      <c r="AF326" t="str">
        <f t="shared" si="109"/>
        <v>Standard Replenishment</v>
      </c>
      <c r="AG326" t="str">
        <f t="shared" si="110"/>
        <v>Low</v>
      </c>
      <c r="AH326">
        <f t="shared" si="111"/>
        <v>50</v>
      </c>
      <c r="AI326" t="str">
        <f t="shared" si="112"/>
        <v>Medium</v>
      </c>
    </row>
    <row r="327" spans="1:35">
      <c r="A327" t="s">
        <v>136</v>
      </c>
      <c r="B327" t="s">
        <v>14</v>
      </c>
      <c r="C327" t="s">
        <v>15</v>
      </c>
      <c r="D327" t="s">
        <v>25</v>
      </c>
      <c r="E327">
        <v>514</v>
      </c>
      <c r="F327">
        <v>100</v>
      </c>
      <c r="G327">
        <v>17</v>
      </c>
      <c r="H327">
        <v>26</v>
      </c>
      <c r="I327">
        <v>412.94</v>
      </c>
      <c r="J327">
        <v>0.19</v>
      </c>
      <c r="K327">
        <v>383</v>
      </c>
      <c r="L327">
        <v>0.78</v>
      </c>
      <c r="M327">
        <v>5</v>
      </c>
      <c r="N327" s="1">
        <f t="shared" si="95"/>
        <v>3.3333333333333335</v>
      </c>
      <c r="O327" s="1">
        <f>N327*(1+Control_Panel!$B$2)</f>
        <v>3.3333333333333335</v>
      </c>
      <c r="P327" s="12">
        <f t="shared" si="96"/>
        <v>0.17</v>
      </c>
      <c r="Q327" t="str" cm="1">
        <f t="array" ref="Q327">_xlfn.IFS(P327&lt;0.2,"Stable",P327&lt;=0.5,"Moderate",P327&gt;0.5,"Highly veriable")</f>
        <v>Stable</v>
      </c>
      <c r="R327" s="1">
        <f t="shared" si="97"/>
        <v>86.683331731077331</v>
      </c>
      <c r="S327" s="1">
        <f t="shared" si="98"/>
        <v>116.01666506441066</v>
      </c>
      <c r="T327" s="1">
        <f t="shared" si="99"/>
        <v>397.98333493558937</v>
      </c>
      <c r="U327" t="str">
        <f t="shared" si="100"/>
        <v xml:space="preserve"> Safe</v>
      </c>
      <c r="V327">
        <f t="shared" si="101"/>
        <v>1200</v>
      </c>
      <c r="W327" s="9">
        <f t="shared" si="102"/>
        <v>495528</v>
      </c>
      <c r="Y327">
        <f t="shared" si="103"/>
        <v>1.1109747642082321E-3</v>
      </c>
      <c r="Z327" s="12">
        <f t="shared" si="113"/>
        <v>0.8892255254883269</v>
      </c>
      <c r="AA327" t="str">
        <f t="shared" si="104"/>
        <v>B</v>
      </c>
      <c r="AB327" t="str">
        <f t="shared" si="105"/>
        <v>X</v>
      </c>
      <c r="AC327" t="str">
        <f t="shared" si="106"/>
        <v>BX</v>
      </c>
      <c r="AD327" t="str">
        <f t="shared" si="107"/>
        <v>Standard Control</v>
      </c>
      <c r="AE327" t="str">
        <f t="shared" si="108"/>
        <v>Weekly</v>
      </c>
      <c r="AF327" t="str">
        <f t="shared" si="109"/>
        <v>Standard Replenishment</v>
      </c>
      <c r="AG327" t="str">
        <f t="shared" si="110"/>
        <v>Low</v>
      </c>
      <c r="AH327">
        <f t="shared" si="111"/>
        <v>40</v>
      </c>
      <c r="AI327" t="str">
        <f t="shared" si="112"/>
        <v>Low</v>
      </c>
    </row>
    <row r="328" spans="1:35">
      <c r="A328" t="s">
        <v>312</v>
      </c>
      <c r="B328" t="s">
        <v>21</v>
      </c>
      <c r="C328" t="s">
        <v>15</v>
      </c>
      <c r="D328" t="s">
        <v>16</v>
      </c>
      <c r="E328">
        <v>528</v>
      </c>
      <c r="F328">
        <v>118</v>
      </c>
      <c r="G328">
        <v>74</v>
      </c>
      <c r="H328">
        <v>18</v>
      </c>
      <c r="I328">
        <v>349.01</v>
      </c>
      <c r="J328">
        <v>0.23</v>
      </c>
      <c r="K328">
        <v>968</v>
      </c>
      <c r="L328">
        <v>0.83</v>
      </c>
      <c r="M328">
        <v>8</v>
      </c>
      <c r="N328" s="1">
        <f t="shared" si="95"/>
        <v>3.9333333333333331</v>
      </c>
      <c r="O328" s="1">
        <f>N328*(1+Control_Panel!$B$2)</f>
        <v>3.9333333333333331</v>
      </c>
      <c r="P328" s="12">
        <f t="shared" si="96"/>
        <v>0.6271186440677966</v>
      </c>
      <c r="Q328" t="str" cm="1">
        <f t="array" ref="Q328">_xlfn.IFS(P328&lt;0.2,"Stable",P328&lt;=0.5,"Moderate",P328&gt;0.5,"Highly veriable")</f>
        <v>Highly veriable</v>
      </c>
      <c r="R328" s="1">
        <f t="shared" si="97"/>
        <v>313.95541084682708</v>
      </c>
      <c r="S328" s="1">
        <f t="shared" si="98"/>
        <v>335.88874418016042</v>
      </c>
      <c r="T328" s="1">
        <f t="shared" si="99"/>
        <v>192.11125581983958</v>
      </c>
      <c r="U328" t="str">
        <f t="shared" si="100"/>
        <v xml:space="preserve"> Risk</v>
      </c>
      <c r="V328">
        <f t="shared" si="101"/>
        <v>1416</v>
      </c>
      <c r="W328" s="9">
        <f t="shared" si="102"/>
        <v>494198.16</v>
      </c>
      <c r="Y328">
        <f t="shared" si="103"/>
        <v>1.1079932602761945E-3</v>
      </c>
      <c r="Z328" s="12">
        <f t="shared" si="113"/>
        <v>0.89033351874860311</v>
      </c>
      <c r="AA328" t="str">
        <f t="shared" si="104"/>
        <v>B</v>
      </c>
      <c r="AB328" t="str">
        <f t="shared" si="105"/>
        <v>Z</v>
      </c>
      <c r="AC328" t="str">
        <f t="shared" si="106"/>
        <v>BZ</v>
      </c>
      <c r="AD328" t="str">
        <f t="shared" si="107"/>
        <v>Risk Monitoring</v>
      </c>
      <c r="AE328" t="str">
        <f t="shared" si="108"/>
        <v>Weekly Risk Review</v>
      </c>
      <c r="AF328" t="str">
        <f t="shared" si="109"/>
        <v>Monitor Demand Variability</v>
      </c>
      <c r="AG328" t="str">
        <f t="shared" si="110"/>
        <v>Medium</v>
      </c>
      <c r="AH328">
        <f t="shared" si="111"/>
        <v>50</v>
      </c>
      <c r="AI328" t="str">
        <f t="shared" si="112"/>
        <v>Medium</v>
      </c>
    </row>
    <row r="329" spans="1:35">
      <c r="A329" t="s">
        <v>189</v>
      </c>
      <c r="B329" t="s">
        <v>21</v>
      </c>
      <c r="C329" t="s">
        <v>15</v>
      </c>
      <c r="D329" t="s">
        <v>25</v>
      </c>
      <c r="E329">
        <v>760</v>
      </c>
      <c r="F329">
        <v>98</v>
      </c>
      <c r="G329">
        <v>84</v>
      </c>
      <c r="H329">
        <v>11</v>
      </c>
      <c r="I329">
        <v>418.18</v>
      </c>
      <c r="J329">
        <v>0.12</v>
      </c>
      <c r="K329">
        <v>253</v>
      </c>
      <c r="L329">
        <v>0.91</v>
      </c>
      <c r="M329">
        <v>3</v>
      </c>
      <c r="N329" s="1">
        <f t="shared" si="95"/>
        <v>3.2666666666666666</v>
      </c>
      <c r="O329" s="1">
        <f>N329*(1+Control_Panel!$B$2)</f>
        <v>3.2666666666666666</v>
      </c>
      <c r="P329" s="12">
        <f t="shared" si="96"/>
        <v>0.8571428571428571</v>
      </c>
      <c r="Q329" t="str" cm="1">
        <f t="array" ref="Q329">_xlfn.IFS(P329&lt;0.2,"Stable",P329&lt;=0.5,"Moderate",P329&gt;0.5,"Highly veriable")</f>
        <v>Highly veriable</v>
      </c>
      <c r="R329" s="1">
        <f t="shared" si="97"/>
        <v>278.59648238985358</v>
      </c>
      <c r="S329" s="1">
        <f t="shared" si="98"/>
        <v>292.86314905652023</v>
      </c>
      <c r="T329" s="1">
        <f t="shared" si="99"/>
        <v>467.13685094347977</v>
      </c>
      <c r="U329" t="str">
        <f t="shared" si="100"/>
        <v xml:space="preserve"> Safe</v>
      </c>
      <c r="V329">
        <f t="shared" si="101"/>
        <v>1176</v>
      </c>
      <c r="W329" s="9">
        <f t="shared" si="102"/>
        <v>491779.68</v>
      </c>
      <c r="Y329">
        <f t="shared" si="103"/>
        <v>1.1025710232931334E-3</v>
      </c>
      <c r="Z329" s="12">
        <f t="shared" si="113"/>
        <v>0.89143608977189626</v>
      </c>
      <c r="AA329" t="str">
        <f t="shared" si="104"/>
        <v>B</v>
      </c>
      <c r="AB329" t="str">
        <f t="shared" si="105"/>
        <v>Z</v>
      </c>
      <c r="AC329" t="str">
        <f t="shared" si="106"/>
        <v>BZ</v>
      </c>
      <c r="AD329" t="str">
        <f t="shared" si="107"/>
        <v>Risk Monitoring</v>
      </c>
      <c r="AE329" t="str">
        <f t="shared" si="108"/>
        <v>Weekly Risk Review</v>
      </c>
      <c r="AF329" t="str">
        <f t="shared" si="109"/>
        <v>Monitor Demand Variability</v>
      </c>
      <c r="AG329" t="str">
        <f t="shared" si="110"/>
        <v>Medium</v>
      </c>
      <c r="AH329">
        <f t="shared" si="111"/>
        <v>30</v>
      </c>
      <c r="AI329" t="str">
        <f t="shared" si="112"/>
        <v>Low</v>
      </c>
    </row>
    <row r="330" spans="1:35">
      <c r="A330" t="s">
        <v>242</v>
      </c>
      <c r="B330" t="s">
        <v>14</v>
      </c>
      <c r="C330" t="s">
        <v>22</v>
      </c>
      <c r="D330" t="s">
        <v>16</v>
      </c>
      <c r="E330">
        <v>1000</v>
      </c>
      <c r="F330">
        <v>88</v>
      </c>
      <c r="G330">
        <v>31</v>
      </c>
      <c r="H330">
        <v>25</v>
      </c>
      <c r="I330">
        <v>463.1</v>
      </c>
      <c r="J330">
        <v>0.16</v>
      </c>
      <c r="K330">
        <v>550</v>
      </c>
      <c r="L330">
        <v>0.96</v>
      </c>
      <c r="M330">
        <v>1</v>
      </c>
      <c r="N330" s="1">
        <f t="shared" si="95"/>
        <v>2.9333333333333331</v>
      </c>
      <c r="O330" s="1">
        <f>N330*(1+Control_Panel!$B$2)</f>
        <v>2.9333333333333331</v>
      </c>
      <c r="P330" s="12">
        <f t="shared" si="96"/>
        <v>0.35227272727272729</v>
      </c>
      <c r="Q330" t="str" cm="1">
        <f t="array" ref="Q330">_xlfn.IFS(P330&lt;0.2,"Stable",P330&lt;=0.5,"Moderate",P330&gt;0.5,"Highly veriable")</f>
        <v>Moderate</v>
      </c>
      <c r="R330" s="1">
        <f t="shared" si="97"/>
        <v>155</v>
      </c>
      <c r="S330" s="1">
        <f t="shared" si="98"/>
        <v>182.93333333333334</v>
      </c>
      <c r="T330" s="1">
        <f t="shared" si="99"/>
        <v>817.06666666666661</v>
      </c>
      <c r="U330" t="str">
        <f t="shared" si="100"/>
        <v xml:space="preserve"> Safe</v>
      </c>
      <c r="V330">
        <f t="shared" si="101"/>
        <v>1056</v>
      </c>
      <c r="W330" s="9">
        <f t="shared" si="102"/>
        <v>489033.60000000003</v>
      </c>
      <c r="Y330">
        <f t="shared" si="103"/>
        <v>1.0964143064567551E-3</v>
      </c>
      <c r="Z330" s="12">
        <f t="shared" si="113"/>
        <v>0.89253250407835305</v>
      </c>
      <c r="AA330" t="str">
        <f t="shared" si="104"/>
        <v>B</v>
      </c>
      <c r="AB330" t="str">
        <f t="shared" si="105"/>
        <v>Y</v>
      </c>
      <c r="AC330" t="str">
        <f t="shared" si="106"/>
        <v>BY</v>
      </c>
      <c r="AD330" t="str">
        <f t="shared" si="107"/>
        <v>Periodic Review</v>
      </c>
      <c r="AE330" t="str">
        <f t="shared" si="108"/>
        <v>Bi-Weekly</v>
      </c>
      <c r="AF330" t="str">
        <f t="shared" si="109"/>
        <v>Periodic Review</v>
      </c>
      <c r="AG330" t="str">
        <f t="shared" si="110"/>
        <v>Low</v>
      </c>
      <c r="AH330">
        <f t="shared" si="111"/>
        <v>30</v>
      </c>
      <c r="AI330" t="str">
        <f t="shared" si="112"/>
        <v>Low</v>
      </c>
    </row>
    <row r="331" spans="1:35">
      <c r="A331" t="s">
        <v>164</v>
      </c>
      <c r="B331" t="s">
        <v>40</v>
      </c>
      <c r="C331" t="s">
        <v>22</v>
      </c>
      <c r="D331" t="s">
        <v>16</v>
      </c>
      <c r="E331">
        <v>27</v>
      </c>
      <c r="F331">
        <v>405</v>
      </c>
      <c r="G331">
        <v>12</v>
      </c>
      <c r="H331">
        <v>28</v>
      </c>
      <c r="I331">
        <v>99.54</v>
      </c>
      <c r="J331">
        <v>0.13</v>
      </c>
      <c r="K331">
        <v>789</v>
      </c>
      <c r="L331">
        <v>1</v>
      </c>
      <c r="M331">
        <v>10</v>
      </c>
      <c r="N331" s="1">
        <f t="shared" si="95"/>
        <v>13.5</v>
      </c>
      <c r="O331" s="1">
        <f>N331*(1+Control_Panel!$B$2)</f>
        <v>13.5</v>
      </c>
      <c r="P331" s="12">
        <f t="shared" si="96"/>
        <v>2.9629629629629631E-2</v>
      </c>
      <c r="Q331" t="str" cm="1">
        <f t="array" ref="Q331">_xlfn.IFS(P331&lt;0.2,"Stable",P331&lt;=0.5,"Moderate",P331&gt;0.5,"Highly veriable")</f>
        <v>Stable</v>
      </c>
      <c r="R331" s="1">
        <f t="shared" si="97"/>
        <v>63.498031465550177</v>
      </c>
      <c r="S331" s="1">
        <f t="shared" si="98"/>
        <v>104.99803146555018</v>
      </c>
      <c r="T331" s="1">
        <f t="shared" si="99"/>
        <v>-77.998031465550184</v>
      </c>
      <c r="U331" t="str">
        <f t="shared" si="100"/>
        <v xml:space="preserve"> Need to Order</v>
      </c>
      <c r="V331">
        <f t="shared" si="101"/>
        <v>4860</v>
      </c>
      <c r="W331" s="9">
        <f t="shared" si="102"/>
        <v>483764.4</v>
      </c>
      <c r="Y331">
        <f t="shared" si="103"/>
        <v>1.0846007495486367E-3</v>
      </c>
      <c r="Z331" s="12">
        <f t="shared" si="113"/>
        <v>0.89361710482790169</v>
      </c>
      <c r="AA331" t="str">
        <f t="shared" si="104"/>
        <v>B</v>
      </c>
      <c r="AB331" t="str">
        <f t="shared" si="105"/>
        <v>X</v>
      </c>
      <c r="AC331" t="str">
        <f t="shared" si="106"/>
        <v>BX</v>
      </c>
      <c r="AD331" t="str">
        <f t="shared" si="107"/>
        <v>Standard Control</v>
      </c>
      <c r="AE331" t="str">
        <f t="shared" si="108"/>
        <v>Weekly</v>
      </c>
      <c r="AF331" t="str">
        <f t="shared" si="109"/>
        <v>Standard Replenishment</v>
      </c>
      <c r="AG331" t="str">
        <f t="shared" si="110"/>
        <v>Low</v>
      </c>
      <c r="AH331">
        <f t="shared" si="111"/>
        <v>50</v>
      </c>
      <c r="AI331" t="str">
        <f t="shared" si="112"/>
        <v>Medium</v>
      </c>
    </row>
    <row r="332" spans="1:35">
      <c r="A332" t="s">
        <v>28</v>
      </c>
      <c r="B332" t="s">
        <v>29</v>
      </c>
      <c r="C332" t="s">
        <v>22</v>
      </c>
      <c r="D332" t="s">
        <v>25</v>
      </c>
      <c r="E332">
        <v>875</v>
      </c>
      <c r="F332">
        <v>191</v>
      </c>
      <c r="G332">
        <v>45</v>
      </c>
      <c r="H332">
        <v>1</v>
      </c>
      <c r="I332">
        <v>210.7</v>
      </c>
      <c r="J332">
        <v>0.23</v>
      </c>
      <c r="K332">
        <v>231</v>
      </c>
      <c r="L332">
        <v>0.91</v>
      </c>
      <c r="M332">
        <v>2</v>
      </c>
      <c r="N332" s="1">
        <f t="shared" si="95"/>
        <v>6.3666666666666663</v>
      </c>
      <c r="O332" s="1">
        <f>N332*(1+Control_Panel!$B$2)</f>
        <v>6.3666666666666663</v>
      </c>
      <c r="P332" s="12">
        <f t="shared" si="96"/>
        <v>0.2356020942408377</v>
      </c>
      <c r="Q332" t="str" cm="1">
        <f t="array" ref="Q332">_xlfn.IFS(P332&lt;0.2,"Stable",P332&lt;=0.5,"Moderate",P332&gt;0.5,"Highly veriable")</f>
        <v>Moderate</v>
      </c>
      <c r="R332" s="1">
        <f t="shared" si="97"/>
        <v>45</v>
      </c>
      <c r="S332" s="1">
        <f t="shared" si="98"/>
        <v>52.366666666666667</v>
      </c>
      <c r="T332" s="1">
        <f t="shared" si="99"/>
        <v>822.63333333333333</v>
      </c>
      <c r="U332" t="str">
        <f t="shared" si="100"/>
        <v xml:space="preserve"> Safe</v>
      </c>
      <c r="V332">
        <f t="shared" si="101"/>
        <v>2292</v>
      </c>
      <c r="W332" s="9">
        <f t="shared" si="102"/>
        <v>482924.39999999997</v>
      </c>
      <c r="Y332">
        <f t="shared" si="103"/>
        <v>1.0827174678734641E-3</v>
      </c>
      <c r="Z332" s="12">
        <f t="shared" si="113"/>
        <v>0.89469982229577516</v>
      </c>
      <c r="AA332" t="str">
        <f t="shared" si="104"/>
        <v>B</v>
      </c>
      <c r="AB332" t="str">
        <f t="shared" si="105"/>
        <v>Y</v>
      </c>
      <c r="AC332" t="str">
        <f t="shared" si="106"/>
        <v>BY</v>
      </c>
      <c r="AD332" t="str">
        <f t="shared" si="107"/>
        <v>Periodic Review</v>
      </c>
      <c r="AE332" t="str">
        <f t="shared" si="108"/>
        <v>Bi-Weekly</v>
      </c>
      <c r="AF332" t="str">
        <f t="shared" si="109"/>
        <v>Periodic Review</v>
      </c>
      <c r="AG332" t="str">
        <f t="shared" si="110"/>
        <v>Low</v>
      </c>
      <c r="AH332">
        <f t="shared" si="111"/>
        <v>30</v>
      </c>
      <c r="AI332" t="str">
        <f t="shared" si="112"/>
        <v>Low</v>
      </c>
    </row>
    <row r="333" spans="1:35">
      <c r="A333" t="s">
        <v>467</v>
      </c>
      <c r="B333" t="s">
        <v>38</v>
      </c>
      <c r="C333" t="s">
        <v>15</v>
      </c>
      <c r="D333" t="s">
        <v>16</v>
      </c>
      <c r="E333">
        <v>503</v>
      </c>
      <c r="F333">
        <v>125</v>
      </c>
      <c r="G333">
        <v>85</v>
      </c>
      <c r="H333">
        <v>19</v>
      </c>
      <c r="I333">
        <v>321.89</v>
      </c>
      <c r="J333">
        <v>0.24</v>
      </c>
      <c r="K333">
        <v>789</v>
      </c>
      <c r="L333">
        <v>0.86</v>
      </c>
      <c r="M333">
        <v>8</v>
      </c>
      <c r="N333" s="1">
        <f t="shared" si="95"/>
        <v>4.166666666666667</v>
      </c>
      <c r="O333" s="1">
        <f>N333*(1+Control_Panel!$B$2)</f>
        <v>4.166666666666667</v>
      </c>
      <c r="P333" s="12">
        <f t="shared" si="96"/>
        <v>0.68</v>
      </c>
      <c r="Q333" t="str" cm="1">
        <f t="array" ref="Q333">_xlfn.IFS(P333&lt;0.2,"Stable",P333&lt;=0.5,"Moderate",P333&gt;0.5,"Highly veriable")</f>
        <v>Highly veriable</v>
      </c>
      <c r="R333" s="1">
        <f t="shared" si="97"/>
        <v>370.5064102009573</v>
      </c>
      <c r="S333" s="1">
        <f t="shared" si="98"/>
        <v>393.67307686762399</v>
      </c>
      <c r="T333" s="1">
        <f t="shared" si="99"/>
        <v>109.32692313237601</v>
      </c>
      <c r="U333" t="str">
        <f t="shared" si="100"/>
        <v xml:space="preserve"> Risk</v>
      </c>
      <c r="V333">
        <f t="shared" si="101"/>
        <v>1500</v>
      </c>
      <c r="W333" s="9">
        <f t="shared" si="102"/>
        <v>482835</v>
      </c>
      <c r="Y333">
        <f t="shared" si="103"/>
        <v>1.082517032895178E-3</v>
      </c>
      <c r="Z333" s="12">
        <f t="shared" si="113"/>
        <v>0.89578233932867035</v>
      </c>
      <c r="AA333" t="str">
        <f t="shared" si="104"/>
        <v>B</v>
      </c>
      <c r="AB333" t="str">
        <f t="shared" si="105"/>
        <v>Z</v>
      </c>
      <c r="AC333" t="str">
        <f t="shared" si="106"/>
        <v>BZ</v>
      </c>
      <c r="AD333" t="str">
        <f t="shared" si="107"/>
        <v>Risk Monitoring</v>
      </c>
      <c r="AE333" t="str">
        <f t="shared" si="108"/>
        <v>Weekly Risk Review</v>
      </c>
      <c r="AF333" t="str">
        <f t="shared" si="109"/>
        <v>Monitor Demand Variability</v>
      </c>
      <c r="AG333" t="str">
        <f t="shared" si="110"/>
        <v>Medium</v>
      </c>
      <c r="AH333">
        <f t="shared" si="111"/>
        <v>50</v>
      </c>
      <c r="AI333" t="str">
        <f t="shared" si="112"/>
        <v>Medium</v>
      </c>
    </row>
    <row r="334" spans="1:35">
      <c r="A334" t="s">
        <v>228</v>
      </c>
      <c r="B334" t="s">
        <v>14</v>
      </c>
      <c r="C334" t="s">
        <v>15</v>
      </c>
      <c r="D334" t="s">
        <v>16</v>
      </c>
      <c r="E334">
        <v>930</v>
      </c>
      <c r="F334">
        <v>251</v>
      </c>
      <c r="G334">
        <v>97</v>
      </c>
      <c r="H334">
        <v>13</v>
      </c>
      <c r="I334">
        <v>159.94999999999999</v>
      </c>
      <c r="J334">
        <v>0.19</v>
      </c>
      <c r="K334">
        <v>686</v>
      </c>
      <c r="L334">
        <v>0.85</v>
      </c>
      <c r="M334">
        <v>5</v>
      </c>
      <c r="N334" s="1">
        <f t="shared" si="95"/>
        <v>8.3666666666666671</v>
      </c>
      <c r="O334" s="1">
        <f>N334*(1+Control_Panel!$B$2)</f>
        <v>8.3666666666666671</v>
      </c>
      <c r="P334" s="12">
        <f t="shared" si="96"/>
        <v>0.38645418326693226</v>
      </c>
      <c r="Q334" t="str" cm="1">
        <f t="array" ref="Q334">_xlfn.IFS(P334&lt;0.2,"Stable",P334&lt;=0.5,"Moderate",P334&gt;0.5,"Highly veriable")</f>
        <v>Moderate</v>
      </c>
      <c r="R334" s="1">
        <f t="shared" si="97"/>
        <v>349.73847372000694</v>
      </c>
      <c r="S334" s="1">
        <f t="shared" si="98"/>
        <v>371.10514038667361</v>
      </c>
      <c r="T334" s="1">
        <f t="shared" si="99"/>
        <v>558.89485961332639</v>
      </c>
      <c r="U334" t="str">
        <f t="shared" si="100"/>
        <v xml:space="preserve"> Safe</v>
      </c>
      <c r="V334">
        <f t="shared" si="101"/>
        <v>3012</v>
      </c>
      <c r="W334" s="9">
        <f t="shared" si="102"/>
        <v>481769.39999999997</v>
      </c>
      <c r="Y334">
        <f t="shared" si="103"/>
        <v>1.0801279555701017E-3</v>
      </c>
      <c r="Z334" s="12">
        <f t="shared" si="113"/>
        <v>0.89686246728424046</v>
      </c>
      <c r="AA334" t="str">
        <f t="shared" si="104"/>
        <v>B</v>
      </c>
      <c r="AB334" t="str">
        <f t="shared" si="105"/>
        <v>Y</v>
      </c>
      <c r="AC334" t="str">
        <f t="shared" si="106"/>
        <v>BY</v>
      </c>
      <c r="AD334" t="str">
        <f t="shared" si="107"/>
        <v>Periodic Review</v>
      </c>
      <c r="AE334" t="str">
        <f t="shared" si="108"/>
        <v>Bi-Weekly</v>
      </c>
      <c r="AF334" t="str">
        <f t="shared" si="109"/>
        <v>Periodic Review</v>
      </c>
      <c r="AG334" t="str">
        <f t="shared" si="110"/>
        <v>Low</v>
      </c>
      <c r="AH334">
        <f t="shared" si="111"/>
        <v>40</v>
      </c>
      <c r="AI334" t="str">
        <f t="shared" si="112"/>
        <v>Low</v>
      </c>
    </row>
    <row r="335" spans="1:35">
      <c r="A335" t="s">
        <v>259</v>
      </c>
      <c r="B335" t="s">
        <v>36</v>
      </c>
      <c r="C335" t="s">
        <v>22</v>
      </c>
      <c r="D335" t="s">
        <v>19</v>
      </c>
      <c r="E335">
        <v>117</v>
      </c>
      <c r="F335">
        <v>85</v>
      </c>
      <c r="G335">
        <v>86</v>
      </c>
      <c r="H335">
        <v>4</v>
      </c>
      <c r="I335">
        <v>468.81</v>
      </c>
      <c r="J335">
        <v>0.2</v>
      </c>
      <c r="K335">
        <v>837</v>
      </c>
      <c r="L335">
        <v>0.75</v>
      </c>
      <c r="M335">
        <v>10</v>
      </c>
      <c r="N335" s="1">
        <f t="shared" si="95"/>
        <v>2.8333333333333335</v>
      </c>
      <c r="O335" s="1">
        <f>N335*(1+Control_Panel!$B$2)</f>
        <v>2.8333333333333335</v>
      </c>
      <c r="P335" s="12">
        <f t="shared" si="96"/>
        <v>1.0117647058823529</v>
      </c>
      <c r="Q335" t="str" cm="1">
        <f t="array" ref="Q335">_xlfn.IFS(P335&lt;0.2,"Stable",P335&lt;=0.5,"Moderate",P335&gt;0.5,"Highly veriable")</f>
        <v>Highly veriable</v>
      </c>
      <c r="R335" s="1">
        <f t="shared" si="97"/>
        <v>172</v>
      </c>
      <c r="S335" s="1">
        <f t="shared" si="98"/>
        <v>178.83333333333334</v>
      </c>
      <c r="T335" s="1">
        <f t="shared" si="99"/>
        <v>-61.833333333333343</v>
      </c>
      <c r="U335" t="str">
        <f t="shared" si="100"/>
        <v xml:space="preserve"> Need to Order</v>
      </c>
      <c r="V335">
        <f t="shared" si="101"/>
        <v>1020</v>
      </c>
      <c r="W335" s="9">
        <f t="shared" si="102"/>
        <v>478186.2</v>
      </c>
      <c r="Y335">
        <f t="shared" si="103"/>
        <v>1.0720944140242942E-3</v>
      </c>
      <c r="Z335" s="12">
        <f t="shared" si="113"/>
        <v>0.8979345616982648</v>
      </c>
      <c r="AA335" t="str">
        <f t="shared" si="104"/>
        <v>B</v>
      </c>
      <c r="AB335" t="str">
        <f t="shared" si="105"/>
        <v>Z</v>
      </c>
      <c r="AC335" t="str">
        <f t="shared" si="106"/>
        <v>BZ</v>
      </c>
      <c r="AD335" t="str">
        <f t="shared" si="107"/>
        <v>Risk Monitoring</v>
      </c>
      <c r="AE335" t="str">
        <f t="shared" si="108"/>
        <v>Weekly Risk Review</v>
      </c>
      <c r="AF335" t="str">
        <f t="shared" si="109"/>
        <v>Monitor Demand Variability</v>
      </c>
      <c r="AG335" t="str">
        <f t="shared" si="110"/>
        <v>Medium</v>
      </c>
      <c r="AH335">
        <f t="shared" si="111"/>
        <v>50</v>
      </c>
      <c r="AI335" t="str">
        <f t="shared" si="112"/>
        <v>Medium</v>
      </c>
    </row>
    <row r="336" spans="1:35">
      <c r="A336" t="s">
        <v>511</v>
      </c>
      <c r="B336" t="s">
        <v>18</v>
      </c>
      <c r="C336" t="s">
        <v>15</v>
      </c>
      <c r="D336" t="s">
        <v>25</v>
      </c>
      <c r="E336">
        <v>960</v>
      </c>
      <c r="F336">
        <v>133</v>
      </c>
      <c r="G336">
        <v>16</v>
      </c>
      <c r="H336">
        <v>17</v>
      </c>
      <c r="I336">
        <v>298.55</v>
      </c>
      <c r="J336">
        <v>0.09</v>
      </c>
      <c r="K336">
        <v>621</v>
      </c>
      <c r="L336">
        <v>0.92</v>
      </c>
      <c r="M336">
        <v>10</v>
      </c>
      <c r="N336" s="1">
        <f t="shared" si="95"/>
        <v>4.4333333333333336</v>
      </c>
      <c r="O336" s="1">
        <f>N336*(1+Control_Panel!$B$2)</f>
        <v>4.4333333333333336</v>
      </c>
      <c r="P336" s="12">
        <f t="shared" si="96"/>
        <v>0.12030075187969924</v>
      </c>
      <c r="Q336" t="str" cm="1">
        <f t="array" ref="Q336">_xlfn.IFS(P336&lt;0.2,"Stable",P336&lt;=0.5,"Moderate",P336&gt;0.5,"Highly veriable")</f>
        <v>Stable</v>
      </c>
      <c r="R336" s="1">
        <f t="shared" si="97"/>
        <v>65.969690009882569</v>
      </c>
      <c r="S336" s="1">
        <f t="shared" si="98"/>
        <v>87.403023343215906</v>
      </c>
      <c r="T336" s="1">
        <f t="shared" si="99"/>
        <v>872.59697665678414</v>
      </c>
      <c r="U336" t="str">
        <f t="shared" si="100"/>
        <v xml:space="preserve"> Safe</v>
      </c>
      <c r="V336">
        <f t="shared" si="101"/>
        <v>1596</v>
      </c>
      <c r="W336" s="9">
        <f t="shared" si="102"/>
        <v>476485.80000000005</v>
      </c>
      <c r="Y336">
        <f t="shared" si="103"/>
        <v>1.0682821138332664E-3</v>
      </c>
      <c r="Z336" s="12">
        <f t="shared" si="113"/>
        <v>0.89900284381209805</v>
      </c>
      <c r="AA336" t="str">
        <f t="shared" si="104"/>
        <v>B</v>
      </c>
      <c r="AB336" t="str">
        <f t="shared" si="105"/>
        <v>X</v>
      </c>
      <c r="AC336" t="str">
        <f t="shared" si="106"/>
        <v>BX</v>
      </c>
      <c r="AD336" t="str">
        <f t="shared" si="107"/>
        <v>Standard Control</v>
      </c>
      <c r="AE336" t="str">
        <f t="shared" si="108"/>
        <v>Weekly</v>
      </c>
      <c r="AF336" t="str">
        <f t="shared" si="109"/>
        <v>Standard Replenishment</v>
      </c>
      <c r="AG336" t="str">
        <f t="shared" si="110"/>
        <v>Low</v>
      </c>
      <c r="AH336">
        <f t="shared" si="111"/>
        <v>50</v>
      </c>
      <c r="AI336" t="str">
        <f t="shared" si="112"/>
        <v>Medium</v>
      </c>
    </row>
    <row r="337" spans="1:35">
      <c r="A337" t="s">
        <v>167</v>
      </c>
      <c r="B337" t="s">
        <v>38</v>
      </c>
      <c r="C337" t="s">
        <v>15</v>
      </c>
      <c r="D337" t="s">
        <v>41</v>
      </c>
      <c r="E337">
        <v>808</v>
      </c>
      <c r="F337">
        <v>120</v>
      </c>
      <c r="G337">
        <v>25</v>
      </c>
      <c r="H337">
        <v>18</v>
      </c>
      <c r="I337">
        <v>324.51</v>
      </c>
      <c r="J337">
        <v>7.0000000000000007E-2</v>
      </c>
      <c r="K337">
        <v>854</v>
      </c>
      <c r="L337">
        <v>0.85</v>
      </c>
      <c r="M337">
        <v>5</v>
      </c>
      <c r="N337" s="1">
        <f t="shared" si="95"/>
        <v>4</v>
      </c>
      <c r="O337" s="1">
        <f>N337*(1+Control_Panel!$B$2)</f>
        <v>4</v>
      </c>
      <c r="P337" s="12">
        <f t="shared" si="96"/>
        <v>0.20833333333333334</v>
      </c>
      <c r="Q337" t="str" cm="1">
        <f t="array" ref="Q337">_xlfn.IFS(P337&lt;0.2,"Stable",P337&lt;=0.5,"Moderate",P337&gt;0.5,"Highly veriable")</f>
        <v>Moderate</v>
      </c>
      <c r="R337" s="1">
        <f t="shared" si="97"/>
        <v>106.06601717798212</v>
      </c>
      <c r="S337" s="1">
        <f t="shared" si="98"/>
        <v>128.06601717798213</v>
      </c>
      <c r="T337" s="1">
        <f t="shared" si="99"/>
        <v>679.93398282201792</v>
      </c>
      <c r="U337" t="str">
        <f t="shared" si="100"/>
        <v xml:space="preserve"> Safe</v>
      </c>
      <c r="V337">
        <f t="shared" si="101"/>
        <v>1440</v>
      </c>
      <c r="W337" s="9">
        <f t="shared" si="102"/>
        <v>467294.39999999997</v>
      </c>
      <c r="Y337">
        <f t="shared" si="103"/>
        <v>1.0476749767032887E-3</v>
      </c>
      <c r="Z337" s="12">
        <f t="shared" si="113"/>
        <v>0.90005051878880138</v>
      </c>
      <c r="AA337" t="str">
        <f t="shared" si="104"/>
        <v>B</v>
      </c>
      <c r="AB337" t="str">
        <f t="shared" si="105"/>
        <v>Y</v>
      </c>
      <c r="AC337" t="str">
        <f t="shared" si="106"/>
        <v>BY</v>
      </c>
      <c r="AD337" t="str">
        <f t="shared" si="107"/>
        <v>Periodic Review</v>
      </c>
      <c r="AE337" t="str">
        <f t="shared" si="108"/>
        <v>Bi-Weekly</v>
      </c>
      <c r="AF337" t="str">
        <f t="shared" si="109"/>
        <v>Periodic Review</v>
      </c>
      <c r="AG337" t="str">
        <f t="shared" si="110"/>
        <v>Low</v>
      </c>
      <c r="AH337">
        <f t="shared" si="111"/>
        <v>40</v>
      </c>
      <c r="AI337" t="str">
        <f t="shared" si="112"/>
        <v>Low</v>
      </c>
    </row>
    <row r="338" spans="1:35">
      <c r="A338" t="s">
        <v>525</v>
      </c>
      <c r="B338" t="s">
        <v>21</v>
      </c>
      <c r="C338" t="s">
        <v>15</v>
      </c>
      <c r="D338" t="s">
        <v>25</v>
      </c>
      <c r="E338">
        <v>598</v>
      </c>
      <c r="F338">
        <v>196</v>
      </c>
      <c r="G338">
        <v>16</v>
      </c>
      <c r="H338">
        <v>9</v>
      </c>
      <c r="I338">
        <v>197.29</v>
      </c>
      <c r="J338">
        <v>0.21</v>
      </c>
      <c r="K338">
        <v>515</v>
      </c>
      <c r="L338">
        <v>0.93</v>
      </c>
      <c r="M338">
        <v>4</v>
      </c>
      <c r="N338" s="1">
        <f t="shared" si="95"/>
        <v>6.5333333333333332</v>
      </c>
      <c r="O338" s="1">
        <f>N338*(1+Control_Panel!$B$2)</f>
        <v>6.5333333333333332</v>
      </c>
      <c r="P338" s="12">
        <f t="shared" si="96"/>
        <v>8.1632653061224483E-2</v>
      </c>
      <c r="Q338" t="str" cm="1">
        <f t="array" ref="Q338">_xlfn.IFS(P338&lt;0.2,"Stable",P338&lt;=0.5,"Moderate",P338&gt;0.5,"Highly veriable")</f>
        <v>Stable</v>
      </c>
      <c r="R338" s="1">
        <f t="shared" si="97"/>
        <v>48</v>
      </c>
      <c r="S338" s="1">
        <f t="shared" si="98"/>
        <v>63.533333333333331</v>
      </c>
      <c r="T338" s="1">
        <f t="shared" si="99"/>
        <v>534.4666666666667</v>
      </c>
      <c r="U338" t="str">
        <f t="shared" si="100"/>
        <v xml:space="preserve"> Safe</v>
      </c>
      <c r="V338">
        <f t="shared" si="101"/>
        <v>2352</v>
      </c>
      <c r="W338" s="9">
        <f t="shared" si="102"/>
        <v>464026.07999999996</v>
      </c>
      <c r="Y338">
        <f t="shared" si="103"/>
        <v>1.0403473967454315E-3</v>
      </c>
      <c r="Z338" s="12">
        <f t="shared" si="113"/>
        <v>0.90109086618554679</v>
      </c>
      <c r="AA338" t="str">
        <f t="shared" si="104"/>
        <v>B</v>
      </c>
      <c r="AB338" t="str">
        <f t="shared" si="105"/>
        <v>X</v>
      </c>
      <c r="AC338" t="str">
        <f t="shared" si="106"/>
        <v>BX</v>
      </c>
      <c r="AD338" t="str">
        <f t="shared" si="107"/>
        <v>Standard Control</v>
      </c>
      <c r="AE338" t="str">
        <f t="shared" si="108"/>
        <v>Weekly</v>
      </c>
      <c r="AF338" t="str">
        <f t="shared" si="109"/>
        <v>Standard Replenishment</v>
      </c>
      <c r="AG338" t="str">
        <f t="shared" si="110"/>
        <v>Low</v>
      </c>
      <c r="AH338">
        <f t="shared" si="111"/>
        <v>30</v>
      </c>
      <c r="AI338" t="str">
        <f t="shared" si="112"/>
        <v>Low</v>
      </c>
    </row>
    <row r="339" spans="1:35">
      <c r="A339" t="s">
        <v>407</v>
      </c>
      <c r="B339" t="s">
        <v>18</v>
      </c>
      <c r="C339" t="s">
        <v>22</v>
      </c>
      <c r="D339" t="s">
        <v>16</v>
      </c>
      <c r="E339">
        <v>139</v>
      </c>
      <c r="F339">
        <v>283</v>
      </c>
      <c r="G339">
        <v>47</v>
      </c>
      <c r="H339">
        <v>20</v>
      </c>
      <c r="I339">
        <v>134.19999999999999</v>
      </c>
      <c r="J339">
        <v>0.06</v>
      </c>
      <c r="K339">
        <v>248</v>
      </c>
      <c r="L339">
        <v>0.71</v>
      </c>
      <c r="M339">
        <v>3</v>
      </c>
      <c r="N339" s="1">
        <f t="shared" si="95"/>
        <v>9.4333333333333336</v>
      </c>
      <c r="O339" s="1">
        <f>N339*(1+Control_Panel!$B$2)</f>
        <v>9.4333333333333336</v>
      </c>
      <c r="P339" s="12">
        <f t="shared" si="96"/>
        <v>0.16607773851590105</v>
      </c>
      <c r="Q339" t="str" cm="1">
        <f t="array" ref="Q339">_xlfn.IFS(P339&lt;0.2,"Stable",P339&lt;=0.5,"Moderate",P339&gt;0.5,"Highly veriable")</f>
        <v>Stable</v>
      </c>
      <c r="R339" s="1">
        <f t="shared" si="97"/>
        <v>210.19038988498025</v>
      </c>
      <c r="S339" s="1">
        <f t="shared" si="98"/>
        <v>239.62372321831359</v>
      </c>
      <c r="T339" s="1">
        <f t="shared" si="99"/>
        <v>-100.62372321831359</v>
      </c>
      <c r="U339" t="str">
        <f t="shared" si="100"/>
        <v xml:space="preserve"> Need to Order</v>
      </c>
      <c r="V339">
        <f t="shared" si="101"/>
        <v>3396</v>
      </c>
      <c r="W339" s="9">
        <f t="shared" si="102"/>
        <v>455743.19999999995</v>
      </c>
      <c r="Y339">
        <f t="shared" si="103"/>
        <v>1.0217771632672727E-3</v>
      </c>
      <c r="Z339" s="12">
        <f t="shared" si="113"/>
        <v>0.90211264334881403</v>
      </c>
      <c r="AA339" t="str">
        <f t="shared" si="104"/>
        <v>B</v>
      </c>
      <c r="AB339" t="str">
        <f t="shared" si="105"/>
        <v>X</v>
      </c>
      <c r="AC339" t="str">
        <f t="shared" si="106"/>
        <v>BX</v>
      </c>
      <c r="AD339" t="str">
        <f t="shared" si="107"/>
        <v>Standard Control</v>
      </c>
      <c r="AE339" t="str">
        <f t="shared" si="108"/>
        <v>Weekly</v>
      </c>
      <c r="AF339" t="str">
        <f t="shared" si="109"/>
        <v>Standard Replenishment</v>
      </c>
      <c r="AG339" t="str">
        <f t="shared" si="110"/>
        <v>Low</v>
      </c>
      <c r="AH339">
        <f t="shared" si="111"/>
        <v>30</v>
      </c>
      <c r="AI339" t="str">
        <f t="shared" si="112"/>
        <v>Low</v>
      </c>
    </row>
    <row r="340" spans="1:35">
      <c r="A340" t="s">
        <v>475</v>
      </c>
      <c r="B340" t="s">
        <v>29</v>
      </c>
      <c r="C340" t="s">
        <v>22</v>
      </c>
      <c r="D340" t="s">
        <v>25</v>
      </c>
      <c r="E340">
        <v>501</v>
      </c>
      <c r="F340">
        <v>381</v>
      </c>
      <c r="G340">
        <v>98</v>
      </c>
      <c r="H340">
        <v>16</v>
      </c>
      <c r="I340">
        <v>97.92</v>
      </c>
      <c r="J340">
        <v>0.05</v>
      </c>
      <c r="K340">
        <v>942</v>
      </c>
      <c r="L340">
        <v>0.98</v>
      </c>
      <c r="M340">
        <v>6</v>
      </c>
      <c r="N340" s="1">
        <f t="shared" si="95"/>
        <v>12.7</v>
      </c>
      <c r="O340" s="1">
        <f>N340*(1+Control_Panel!$B$2)</f>
        <v>12.7</v>
      </c>
      <c r="P340" s="12">
        <f t="shared" si="96"/>
        <v>0.2572178477690289</v>
      </c>
      <c r="Q340" t="str" cm="1">
        <f t="array" ref="Q340">_xlfn.IFS(P340&lt;0.2,"Stable",P340&lt;=0.5,"Moderate",P340&gt;0.5,"Highly veriable")</f>
        <v>Moderate</v>
      </c>
      <c r="R340" s="1">
        <f t="shared" si="97"/>
        <v>392</v>
      </c>
      <c r="S340" s="1">
        <f t="shared" si="98"/>
        <v>420.7</v>
      </c>
      <c r="T340" s="1">
        <f t="shared" si="99"/>
        <v>80.300000000000011</v>
      </c>
      <c r="U340" t="str">
        <f t="shared" si="100"/>
        <v xml:space="preserve"> Risk</v>
      </c>
      <c r="V340">
        <f t="shared" si="101"/>
        <v>4572</v>
      </c>
      <c r="W340" s="9">
        <f t="shared" si="102"/>
        <v>447690.23999999999</v>
      </c>
      <c r="Y340">
        <f t="shared" si="103"/>
        <v>1.0037224108876326E-3</v>
      </c>
      <c r="Z340" s="12">
        <f t="shared" si="113"/>
        <v>0.90311636575970167</v>
      </c>
      <c r="AA340" t="str">
        <f t="shared" si="104"/>
        <v>B</v>
      </c>
      <c r="AB340" t="str">
        <f t="shared" si="105"/>
        <v>Y</v>
      </c>
      <c r="AC340" t="str">
        <f t="shared" si="106"/>
        <v>BY</v>
      </c>
      <c r="AD340" t="str">
        <f t="shared" si="107"/>
        <v>Periodic Review</v>
      </c>
      <c r="AE340" t="str">
        <f t="shared" si="108"/>
        <v>Bi-Weekly</v>
      </c>
      <c r="AF340" t="str">
        <f t="shared" si="109"/>
        <v>Periodic Review</v>
      </c>
      <c r="AG340" t="str">
        <f t="shared" si="110"/>
        <v>Low</v>
      </c>
      <c r="AH340">
        <f t="shared" si="111"/>
        <v>40</v>
      </c>
      <c r="AI340" t="str">
        <f t="shared" si="112"/>
        <v>Low</v>
      </c>
    </row>
    <row r="341" spans="1:35">
      <c r="A341" t="s">
        <v>48</v>
      </c>
      <c r="B341" t="s">
        <v>38</v>
      </c>
      <c r="C341" t="s">
        <v>22</v>
      </c>
      <c r="D341" t="s">
        <v>25</v>
      </c>
      <c r="E341">
        <v>626</v>
      </c>
      <c r="F341">
        <v>106</v>
      </c>
      <c r="G341">
        <v>95</v>
      </c>
      <c r="H341">
        <v>7</v>
      </c>
      <c r="I341">
        <v>348.53</v>
      </c>
      <c r="J341">
        <v>0.25</v>
      </c>
      <c r="K341">
        <v>938</v>
      </c>
      <c r="L341">
        <v>0.88</v>
      </c>
      <c r="M341">
        <v>6</v>
      </c>
      <c r="N341" s="1">
        <f t="shared" si="95"/>
        <v>3.5333333333333332</v>
      </c>
      <c r="O341" s="1">
        <f>N341*(1+Control_Panel!$B$2)</f>
        <v>3.5333333333333332</v>
      </c>
      <c r="P341" s="12">
        <f t="shared" si="96"/>
        <v>0.89622641509433965</v>
      </c>
      <c r="Q341" t="str" cm="1">
        <f t="array" ref="Q341">_xlfn.IFS(P341&lt;0.2,"Stable",P341&lt;=0.5,"Moderate",P341&gt;0.5,"Highly veriable")</f>
        <v>Highly veriable</v>
      </c>
      <c r="R341" s="1">
        <f t="shared" si="97"/>
        <v>251.34637455113611</v>
      </c>
      <c r="S341" s="1">
        <f t="shared" si="98"/>
        <v>261.87970788446944</v>
      </c>
      <c r="T341" s="1">
        <f t="shared" si="99"/>
        <v>364.12029211553056</v>
      </c>
      <c r="U341" t="str">
        <f t="shared" si="100"/>
        <v xml:space="preserve"> Safe</v>
      </c>
      <c r="V341">
        <f t="shared" si="101"/>
        <v>1272</v>
      </c>
      <c r="W341" s="9">
        <f t="shared" si="102"/>
        <v>443330.16</v>
      </c>
      <c r="Y341">
        <f t="shared" si="103"/>
        <v>9.9394710283252962E-4</v>
      </c>
      <c r="Z341" s="12">
        <f t="shared" si="113"/>
        <v>0.90411031286253418</v>
      </c>
      <c r="AA341" t="str">
        <f t="shared" si="104"/>
        <v>B</v>
      </c>
      <c r="AB341" t="str">
        <f t="shared" si="105"/>
        <v>Z</v>
      </c>
      <c r="AC341" t="str">
        <f t="shared" si="106"/>
        <v>BZ</v>
      </c>
      <c r="AD341" t="str">
        <f t="shared" si="107"/>
        <v>Risk Monitoring</v>
      </c>
      <c r="AE341" t="str">
        <f t="shared" si="108"/>
        <v>Weekly Risk Review</v>
      </c>
      <c r="AF341" t="str">
        <f t="shared" si="109"/>
        <v>Monitor Demand Variability</v>
      </c>
      <c r="AG341" t="str">
        <f t="shared" si="110"/>
        <v>Medium</v>
      </c>
      <c r="AH341">
        <f t="shared" si="111"/>
        <v>40</v>
      </c>
      <c r="AI341" t="str">
        <f t="shared" si="112"/>
        <v>Low</v>
      </c>
    </row>
    <row r="342" spans="1:35">
      <c r="A342" t="s">
        <v>216</v>
      </c>
      <c r="B342" t="s">
        <v>34</v>
      </c>
      <c r="C342" t="s">
        <v>15</v>
      </c>
      <c r="D342" t="s">
        <v>19</v>
      </c>
      <c r="E342">
        <v>111</v>
      </c>
      <c r="F342">
        <v>127</v>
      </c>
      <c r="G342">
        <v>86</v>
      </c>
      <c r="H342">
        <v>21</v>
      </c>
      <c r="I342">
        <v>289.99</v>
      </c>
      <c r="J342">
        <v>0.16</v>
      </c>
      <c r="K342">
        <v>999</v>
      </c>
      <c r="L342">
        <v>0.85</v>
      </c>
      <c r="M342">
        <v>6</v>
      </c>
      <c r="N342" s="1">
        <f t="shared" si="95"/>
        <v>4.2333333333333334</v>
      </c>
      <c r="O342" s="1">
        <f>N342*(1+Control_Panel!$B$2)</f>
        <v>4.2333333333333334</v>
      </c>
      <c r="P342" s="12">
        <f t="shared" si="96"/>
        <v>0.67716535433070868</v>
      </c>
      <c r="Q342" t="str" cm="1">
        <f t="array" ref="Q342">_xlfn.IFS(P342&lt;0.2,"Stable",P342&lt;=0.5,"Moderate",P342&gt;0.5,"Highly veriable")</f>
        <v>Highly veriable</v>
      </c>
      <c r="R342" s="1">
        <f t="shared" si="97"/>
        <v>394.10150976620224</v>
      </c>
      <c r="S342" s="1">
        <f t="shared" si="98"/>
        <v>419.33484309953559</v>
      </c>
      <c r="T342" s="1">
        <f t="shared" si="99"/>
        <v>-308.33484309953559</v>
      </c>
      <c r="U342" t="str">
        <f t="shared" si="100"/>
        <v xml:space="preserve"> Need to Order</v>
      </c>
      <c r="V342">
        <f t="shared" si="101"/>
        <v>1524</v>
      </c>
      <c r="W342" s="9">
        <f t="shared" si="102"/>
        <v>441944.76</v>
      </c>
      <c r="Y342">
        <f t="shared" si="103"/>
        <v>9.9084103326969159E-4</v>
      </c>
      <c r="Z342" s="12">
        <f t="shared" si="113"/>
        <v>0.90510115389580392</v>
      </c>
      <c r="AA342" t="str">
        <f t="shared" si="104"/>
        <v>B</v>
      </c>
      <c r="AB342" t="str">
        <f t="shared" si="105"/>
        <v>Z</v>
      </c>
      <c r="AC342" t="str">
        <f t="shared" si="106"/>
        <v>BZ</v>
      </c>
      <c r="AD342" t="str">
        <f t="shared" si="107"/>
        <v>Risk Monitoring</v>
      </c>
      <c r="AE342" t="str">
        <f t="shared" si="108"/>
        <v>Weekly Risk Review</v>
      </c>
      <c r="AF342" t="str">
        <f t="shared" si="109"/>
        <v>Monitor Demand Variability</v>
      </c>
      <c r="AG342" t="str">
        <f t="shared" si="110"/>
        <v>Medium</v>
      </c>
      <c r="AH342">
        <f t="shared" si="111"/>
        <v>40</v>
      </c>
      <c r="AI342" t="str">
        <f t="shared" si="112"/>
        <v>Low</v>
      </c>
    </row>
    <row r="343" spans="1:35">
      <c r="A343" t="s">
        <v>358</v>
      </c>
      <c r="B343" t="s">
        <v>18</v>
      </c>
      <c r="C343" t="s">
        <v>22</v>
      </c>
      <c r="D343" t="s">
        <v>16</v>
      </c>
      <c r="E343">
        <v>50</v>
      </c>
      <c r="F343">
        <v>382</v>
      </c>
      <c r="G343">
        <v>13</v>
      </c>
      <c r="H343">
        <v>6</v>
      </c>
      <c r="I343">
        <v>95.83</v>
      </c>
      <c r="J343">
        <v>0.2</v>
      </c>
      <c r="K343">
        <v>116</v>
      </c>
      <c r="L343">
        <v>0.85</v>
      </c>
      <c r="M343">
        <v>3</v>
      </c>
      <c r="N343" s="1">
        <f t="shared" si="95"/>
        <v>12.733333333333333</v>
      </c>
      <c r="O343" s="1">
        <f>N343*(1+Control_Panel!$B$2)</f>
        <v>12.733333333333333</v>
      </c>
      <c r="P343" s="12">
        <f t="shared" si="96"/>
        <v>3.4031413612565446E-2</v>
      </c>
      <c r="Q343" t="str" cm="1">
        <f t="array" ref="Q343">_xlfn.IFS(P343&lt;0.2,"Stable",P343&lt;=0.5,"Moderate",P343&gt;0.5,"Highly veriable")</f>
        <v>Stable</v>
      </c>
      <c r="R343" s="1">
        <f t="shared" si="97"/>
        <v>31.843366656181313</v>
      </c>
      <c r="S343" s="1">
        <f t="shared" si="98"/>
        <v>50.576699989514651</v>
      </c>
      <c r="T343" s="1">
        <f t="shared" si="99"/>
        <v>-0.57669998951465118</v>
      </c>
      <c r="U343" t="str">
        <f t="shared" si="100"/>
        <v xml:space="preserve"> Need to Order</v>
      </c>
      <c r="V343">
        <f t="shared" si="101"/>
        <v>4584</v>
      </c>
      <c r="W343" s="9">
        <f t="shared" si="102"/>
        <v>439284.72</v>
      </c>
      <c r="Y343">
        <f t="shared" si="103"/>
        <v>9.8487721828489851E-4</v>
      </c>
      <c r="Z343" s="12">
        <f t="shared" si="113"/>
        <v>0.90608603111408881</v>
      </c>
      <c r="AA343" t="str">
        <f t="shared" si="104"/>
        <v>B</v>
      </c>
      <c r="AB343" t="str">
        <f t="shared" si="105"/>
        <v>X</v>
      </c>
      <c r="AC343" t="str">
        <f t="shared" si="106"/>
        <v>BX</v>
      </c>
      <c r="AD343" t="str">
        <f t="shared" si="107"/>
        <v>Standard Control</v>
      </c>
      <c r="AE343" t="str">
        <f t="shared" si="108"/>
        <v>Weekly</v>
      </c>
      <c r="AF343" t="str">
        <f t="shared" si="109"/>
        <v>Standard Replenishment</v>
      </c>
      <c r="AG343" t="str">
        <f t="shared" si="110"/>
        <v>Low</v>
      </c>
      <c r="AH343">
        <f t="shared" si="111"/>
        <v>30</v>
      </c>
      <c r="AI343" t="str">
        <f t="shared" si="112"/>
        <v>Low</v>
      </c>
    </row>
    <row r="344" spans="1:35">
      <c r="A344" t="s">
        <v>20</v>
      </c>
      <c r="B344" t="s">
        <v>21</v>
      </c>
      <c r="C344" t="s">
        <v>22</v>
      </c>
      <c r="D344" t="s">
        <v>23</v>
      </c>
      <c r="E344">
        <v>382</v>
      </c>
      <c r="F344">
        <v>152</v>
      </c>
      <c r="G344">
        <v>65</v>
      </c>
      <c r="H344">
        <v>15</v>
      </c>
      <c r="I344">
        <v>238.7</v>
      </c>
      <c r="J344">
        <v>0.14000000000000001</v>
      </c>
      <c r="K344">
        <v>442</v>
      </c>
      <c r="L344">
        <v>0.89</v>
      </c>
      <c r="M344">
        <v>7</v>
      </c>
      <c r="N344" s="1">
        <f t="shared" si="95"/>
        <v>5.0666666666666664</v>
      </c>
      <c r="O344" s="1">
        <f>N344*(1+Control_Panel!$B$2)</f>
        <v>5.0666666666666664</v>
      </c>
      <c r="P344" s="12">
        <f t="shared" si="96"/>
        <v>0.42763157894736842</v>
      </c>
      <c r="Q344" t="str" cm="1">
        <f t="array" ref="Q344">_xlfn.IFS(P344&lt;0.2,"Stable",P344&lt;=0.5,"Moderate",P344&gt;0.5,"Highly veriable")</f>
        <v>Moderate</v>
      </c>
      <c r="R344" s="1">
        <f t="shared" si="97"/>
        <v>251.74391750348209</v>
      </c>
      <c r="S344" s="1">
        <f t="shared" si="98"/>
        <v>271.81058417014879</v>
      </c>
      <c r="T344" s="1">
        <f t="shared" si="99"/>
        <v>110.18941582985121</v>
      </c>
      <c r="U344" t="str">
        <f t="shared" si="100"/>
        <v xml:space="preserve"> Risk</v>
      </c>
      <c r="V344">
        <f t="shared" si="101"/>
        <v>1824</v>
      </c>
      <c r="W344" s="9">
        <f t="shared" si="102"/>
        <v>435388.8</v>
      </c>
      <c r="Y344">
        <f t="shared" si="103"/>
        <v>9.7614255787544825E-4</v>
      </c>
      <c r="Z344" s="12">
        <f t="shared" si="113"/>
        <v>0.90706217367196429</v>
      </c>
      <c r="AA344" t="str">
        <f t="shared" si="104"/>
        <v>B</v>
      </c>
      <c r="AB344" t="str">
        <f t="shared" si="105"/>
        <v>Y</v>
      </c>
      <c r="AC344" t="str">
        <f t="shared" si="106"/>
        <v>BY</v>
      </c>
      <c r="AD344" t="str">
        <f t="shared" si="107"/>
        <v>Periodic Review</v>
      </c>
      <c r="AE344" t="str">
        <f t="shared" si="108"/>
        <v>Bi-Weekly</v>
      </c>
      <c r="AF344" t="str">
        <f t="shared" si="109"/>
        <v>Periodic Review</v>
      </c>
      <c r="AG344" t="str">
        <f t="shared" si="110"/>
        <v>Low</v>
      </c>
      <c r="AH344">
        <f t="shared" si="111"/>
        <v>40</v>
      </c>
      <c r="AI344" t="str">
        <f t="shared" si="112"/>
        <v>Low</v>
      </c>
    </row>
    <row r="345" spans="1:35">
      <c r="A345" t="s">
        <v>324</v>
      </c>
      <c r="B345" t="s">
        <v>36</v>
      </c>
      <c r="C345" t="s">
        <v>22</v>
      </c>
      <c r="D345" t="s">
        <v>16</v>
      </c>
      <c r="E345">
        <v>520</v>
      </c>
      <c r="F345">
        <v>303</v>
      </c>
      <c r="G345">
        <v>39</v>
      </c>
      <c r="H345">
        <v>24</v>
      </c>
      <c r="I345">
        <v>119.12</v>
      </c>
      <c r="J345">
        <v>0.06</v>
      </c>
      <c r="K345">
        <v>652</v>
      </c>
      <c r="L345">
        <v>0.76</v>
      </c>
      <c r="M345">
        <v>8</v>
      </c>
      <c r="N345" s="1">
        <f t="shared" si="95"/>
        <v>10.1</v>
      </c>
      <c r="O345" s="1">
        <f>N345*(1+Control_Panel!$B$2)</f>
        <v>10.1</v>
      </c>
      <c r="P345" s="12">
        <f t="shared" si="96"/>
        <v>0.12871287128712872</v>
      </c>
      <c r="Q345" t="str" cm="1">
        <f t="array" ref="Q345">_xlfn.IFS(P345&lt;0.2,"Stable",P345&lt;=0.5,"Moderate",P345&gt;0.5,"Highly veriable")</f>
        <v>Stable</v>
      </c>
      <c r="R345" s="1">
        <f t="shared" si="97"/>
        <v>191.06019993708787</v>
      </c>
      <c r="S345" s="1">
        <f t="shared" si="98"/>
        <v>225.16019993708787</v>
      </c>
      <c r="T345" s="1">
        <f t="shared" si="99"/>
        <v>294.8398000629121</v>
      </c>
      <c r="U345" t="str">
        <f t="shared" si="100"/>
        <v xml:space="preserve"> Safe</v>
      </c>
      <c r="V345">
        <f t="shared" si="101"/>
        <v>3636</v>
      </c>
      <c r="W345" s="9">
        <f t="shared" si="102"/>
        <v>433120.32</v>
      </c>
      <c r="Y345">
        <f t="shared" si="103"/>
        <v>9.7105662119152507E-4</v>
      </c>
      <c r="Z345" s="12">
        <f t="shared" si="113"/>
        <v>0.90803323029315586</v>
      </c>
      <c r="AA345" t="str">
        <f t="shared" si="104"/>
        <v>B</v>
      </c>
      <c r="AB345" t="str">
        <f t="shared" si="105"/>
        <v>X</v>
      </c>
      <c r="AC345" t="str">
        <f t="shared" si="106"/>
        <v>BX</v>
      </c>
      <c r="AD345" t="str">
        <f t="shared" si="107"/>
        <v>Standard Control</v>
      </c>
      <c r="AE345" t="str">
        <f t="shared" si="108"/>
        <v>Weekly</v>
      </c>
      <c r="AF345" t="str">
        <f t="shared" si="109"/>
        <v>Standard Replenishment</v>
      </c>
      <c r="AG345" t="str">
        <f t="shared" si="110"/>
        <v>Low</v>
      </c>
      <c r="AH345">
        <f t="shared" si="111"/>
        <v>50</v>
      </c>
      <c r="AI345" t="str">
        <f t="shared" si="112"/>
        <v>Medium</v>
      </c>
    </row>
    <row r="346" spans="1:35">
      <c r="A346" t="s">
        <v>367</v>
      </c>
      <c r="B346" t="s">
        <v>21</v>
      </c>
      <c r="C346" t="s">
        <v>22</v>
      </c>
      <c r="D346" t="s">
        <v>19</v>
      </c>
      <c r="E346">
        <v>745</v>
      </c>
      <c r="F346">
        <v>113</v>
      </c>
      <c r="G346">
        <v>72</v>
      </c>
      <c r="H346">
        <v>19</v>
      </c>
      <c r="I346">
        <v>317.45</v>
      </c>
      <c r="J346">
        <v>0.14000000000000001</v>
      </c>
      <c r="K346">
        <v>544</v>
      </c>
      <c r="L346">
        <v>0.92</v>
      </c>
      <c r="M346">
        <v>5</v>
      </c>
      <c r="N346" s="1">
        <f t="shared" si="95"/>
        <v>3.7666666666666666</v>
      </c>
      <c r="O346" s="1">
        <f>N346*(1+Control_Panel!$B$2)</f>
        <v>3.7666666666666666</v>
      </c>
      <c r="P346" s="12">
        <f t="shared" si="96"/>
        <v>0.63716814159292035</v>
      </c>
      <c r="Q346" t="str" cm="1">
        <f t="array" ref="Q346">_xlfn.IFS(P346&lt;0.2,"Stable",P346&lt;=0.5,"Moderate",P346&gt;0.5,"Highly veriable")</f>
        <v>Highly veriable</v>
      </c>
      <c r="R346" s="1">
        <f t="shared" si="97"/>
        <v>313.84072393492852</v>
      </c>
      <c r="S346" s="1">
        <f t="shared" si="98"/>
        <v>336.60739060159517</v>
      </c>
      <c r="T346" s="1">
        <f t="shared" si="99"/>
        <v>408.39260939840483</v>
      </c>
      <c r="U346" t="str">
        <f t="shared" si="100"/>
        <v xml:space="preserve"> Safe</v>
      </c>
      <c r="V346">
        <f t="shared" si="101"/>
        <v>1356</v>
      </c>
      <c r="W346" s="9">
        <f t="shared" si="102"/>
        <v>430462.2</v>
      </c>
      <c r="Y346">
        <f t="shared" si="103"/>
        <v>9.6509711085056109E-4</v>
      </c>
      <c r="Z346" s="12">
        <f t="shared" si="113"/>
        <v>0.90899832740400643</v>
      </c>
      <c r="AA346" t="str">
        <f t="shared" si="104"/>
        <v>B</v>
      </c>
      <c r="AB346" t="str">
        <f t="shared" si="105"/>
        <v>Z</v>
      </c>
      <c r="AC346" t="str">
        <f t="shared" si="106"/>
        <v>BZ</v>
      </c>
      <c r="AD346" t="str">
        <f t="shared" si="107"/>
        <v>Risk Monitoring</v>
      </c>
      <c r="AE346" t="str">
        <f t="shared" si="108"/>
        <v>Weekly Risk Review</v>
      </c>
      <c r="AF346" t="str">
        <f t="shared" si="109"/>
        <v>Monitor Demand Variability</v>
      </c>
      <c r="AG346" t="str">
        <f t="shared" si="110"/>
        <v>Medium</v>
      </c>
      <c r="AH346">
        <f t="shared" si="111"/>
        <v>40</v>
      </c>
      <c r="AI346" t="str">
        <f t="shared" si="112"/>
        <v>Low</v>
      </c>
    </row>
    <row r="347" spans="1:35">
      <c r="A347" t="s">
        <v>393</v>
      </c>
      <c r="B347" t="s">
        <v>34</v>
      </c>
      <c r="C347" t="s">
        <v>15</v>
      </c>
      <c r="D347" t="s">
        <v>23</v>
      </c>
      <c r="E347">
        <v>111</v>
      </c>
      <c r="F347">
        <v>154</v>
      </c>
      <c r="G347">
        <v>50</v>
      </c>
      <c r="H347">
        <v>17</v>
      </c>
      <c r="I347">
        <v>231.97</v>
      </c>
      <c r="J347">
        <v>0.13</v>
      </c>
      <c r="K347">
        <v>866</v>
      </c>
      <c r="L347">
        <v>0.76</v>
      </c>
      <c r="M347">
        <v>7</v>
      </c>
      <c r="N347" s="1">
        <f t="shared" si="95"/>
        <v>5.1333333333333337</v>
      </c>
      <c r="O347" s="1">
        <f>N347*(1+Control_Panel!$B$2)</f>
        <v>5.1333333333333337</v>
      </c>
      <c r="P347" s="12">
        <f t="shared" si="96"/>
        <v>0.32467532467532467</v>
      </c>
      <c r="Q347" t="str" cm="1">
        <f t="array" ref="Q347">_xlfn.IFS(P347&lt;0.2,"Stable",P347&lt;=0.5,"Moderate",P347&gt;0.5,"Highly veriable")</f>
        <v>Moderate</v>
      </c>
      <c r="R347" s="1">
        <f t="shared" si="97"/>
        <v>206.15528128088303</v>
      </c>
      <c r="S347" s="1">
        <f t="shared" si="98"/>
        <v>228.28861461421636</v>
      </c>
      <c r="T347" s="1">
        <f t="shared" si="99"/>
        <v>-117.28861461421636</v>
      </c>
      <c r="U347" t="str">
        <f t="shared" si="100"/>
        <v xml:space="preserve"> Need to Order</v>
      </c>
      <c r="V347">
        <f t="shared" si="101"/>
        <v>1848</v>
      </c>
      <c r="W347" s="9">
        <f t="shared" si="102"/>
        <v>428680.56</v>
      </c>
      <c r="Y347">
        <f t="shared" si="103"/>
        <v>9.6110267041752003E-4</v>
      </c>
      <c r="Z347" s="12">
        <f t="shared" si="113"/>
        <v>0.90995943007442393</v>
      </c>
      <c r="AA347" t="str">
        <f t="shared" si="104"/>
        <v>B</v>
      </c>
      <c r="AB347" t="str">
        <f t="shared" si="105"/>
        <v>Y</v>
      </c>
      <c r="AC347" t="str">
        <f t="shared" si="106"/>
        <v>BY</v>
      </c>
      <c r="AD347" t="str">
        <f t="shared" si="107"/>
        <v>Periodic Review</v>
      </c>
      <c r="AE347" t="str">
        <f t="shared" si="108"/>
        <v>Bi-Weekly</v>
      </c>
      <c r="AF347" t="str">
        <f t="shared" si="109"/>
        <v>Periodic Review</v>
      </c>
      <c r="AG347" t="str">
        <f t="shared" si="110"/>
        <v>Low</v>
      </c>
      <c r="AH347">
        <f t="shared" si="111"/>
        <v>40</v>
      </c>
      <c r="AI347" t="str">
        <f t="shared" si="112"/>
        <v>Low</v>
      </c>
    </row>
    <row r="348" spans="1:35">
      <c r="A348" t="s">
        <v>517</v>
      </c>
      <c r="B348" t="s">
        <v>36</v>
      </c>
      <c r="C348" t="s">
        <v>15</v>
      </c>
      <c r="D348" t="s">
        <v>23</v>
      </c>
      <c r="E348">
        <v>202</v>
      </c>
      <c r="F348">
        <v>172</v>
      </c>
      <c r="G348">
        <v>48</v>
      </c>
      <c r="H348">
        <v>2</v>
      </c>
      <c r="I348">
        <v>205.44</v>
      </c>
      <c r="J348">
        <v>0.16</v>
      </c>
      <c r="K348">
        <v>980</v>
      </c>
      <c r="L348">
        <v>0.93</v>
      </c>
      <c r="M348">
        <v>7</v>
      </c>
      <c r="N348" s="1">
        <f t="shared" si="95"/>
        <v>5.7333333333333334</v>
      </c>
      <c r="O348" s="1">
        <f>N348*(1+Control_Panel!$B$2)</f>
        <v>5.7333333333333334</v>
      </c>
      <c r="P348" s="12">
        <f t="shared" si="96"/>
        <v>0.27906976744186046</v>
      </c>
      <c r="Q348" t="str" cm="1">
        <f t="array" ref="Q348">_xlfn.IFS(P348&lt;0.2,"Stable",P348&lt;=0.5,"Moderate",P348&gt;0.5,"Highly veriable")</f>
        <v>Moderate</v>
      </c>
      <c r="R348" s="1">
        <f t="shared" si="97"/>
        <v>67.882250993908571</v>
      </c>
      <c r="S348" s="1">
        <f t="shared" si="98"/>
        <v>75.615584327241905</v>
      </c>
      <c r="T348" s="1">
        <f t="shared" si="99"/>
        <v>126.3844156727581</v>
      </c>
      <c r="U348" t="str">
        <f t="shared" si="100"/>
        <v xml:space="preserve"> Safe</v>
      </c>
      <c r="V348">
        <f t="shared" si="101"/>
        <v>2064</v>
      </c>
      <c r="W348" s="9">
        <f t="shared" si="102"/>
        <v>424028.15999999997</v>
      </c>
      <c r="Y348">
        <f t="shared" si="103"/>
        <v>9.5067198033945701E-4</v>
      </c>
      <c r="Z348" s="12">
        <f t="shared" si="113"/>
        <v>0.91091010205476342</v>
      </c>
      <c r="AA348" t="str">
        <f t="shared" si="104"/>
        <v>B</v>
      </c>
      <c r="AB348" t="str">
        <f t="shared" si="105"/>
        <v>Y</v>
      </c>
      <c r="AC348" t="str">
        <f t="shared" si="106"/>
        <v>BY</v>
      </c>
      <c r="AD348" t="str">
        <f t="shared" si="107"/>
        <v>Periodic Review</v>
      </c>
      <c r="AE348" t="str">
        <f t="shared" si="108"/>
        <v>Bi-Weekly</v>
      </c>
      <c r="AF348" t="str">
        <f t="shared" si="109"/>
        <v>Periodic Review</v>
      </c>
      <c r="AG348" t="str">
        <f t="shared" si="110"/>
        <v>Low</v>
      </c>
      <c r="AH348">
        <f t="shared" si="111"/>
        <v>40</v>
      </c>
      <c r="AI348" t="str">
        <f t="shared" si="112"/>
        <v>Low</v>
      </c>
    </row>
    <row r="349" spans="1:35">
      <c r="A349" t="s">
        <v>465</v>
      </c>
      <c r="B349" t="s">
        <v>29</v>
      </c>
      <c r="C349" t="s">
        <v>15</v>
      </c>
      <c r="D349" t="s">
        <v>25</v>
      </c>
      <c r="E349">
        <v>281</v>
      </c>
      <c r="F349">
        <v>427</v>
      </c>
      <c r="G349">
        <v>81</v>
      </c>
      <c r="H349">
        <v>20</v>
      </c>
      <c r="I349">
        <v>82.37</v>
      </c>
      <c r="J349">
        <v>0.16</v>
      </c>
      <c r="K349">
        <v>868</v>
      </c>
      <c r="L349">
        <v>0.87</v>
      </c>
      <c r="M349">
        <v>4</v>
      </c>
      <c r="N349" s="1">
        <f t="shared" si="95"/>
        <v>14.233333333333333</v>
      </c>
      <c r="O349" s="1">
        <f>N349*(1+Control_Panel!$B$2)</f>
        <v>14.233333333333333</v>
      </c>
      <c r="P349" s="12">
        <f t="shared" si="96"/>
        <v>0.18969555035128804</v>
      </c>
      <c r="Q349" t="str" cm="1">
        <f t="array" ref="Q349">_xlfn.IFS(P349&lt;0.2,"Stable",P349&lt;=0.5,"Moderate",P349&gt;0.5,"Highly veriable")</f>
        <v>Stable</v>
      </c>
      <c r="R349" s="1">
        <f t="shared" si="97"/>
        <v>362.24301235496597</v>
      </c>
      <c r="S349" s="1">
        <f t="shared" si="98"/>
        <v>396.47634568829932</v>
      </c>
      <c r="T349" s="1">
        <f t="shared" si="99"/>
        <v>-115.47634568829932</v>
      </c>
      <c r="U349" t="str">
        <f t="shared" si="100"/>
        <v xml:space="preserve"> Need to Order</v>
      </c>
      <c r="V349">
        <f t="shared" si="101"/>
        <v>5124</v>
      </c>
      <c r="W349" s="9">
        <f t="shared" si="102"/>
        <v>422063.88</v>
      </c>
      <c r="Y349">
        <f t="shared" si="103"/>
        <v>9.4626806066218567E-4</v>
      </c>
      <c r="Z349" s="12">
        <f t="shared" si="113"/>
        <v>0.91185637011542564</v>
      </c>
      <c r="AA349" t="str">
        <f t="shared" si="104"/>
        <v>B</v>
      </c>
      <c r="AB349" t="str">
        <f t="shared" si="105"/>
        <v>X</v>
      </c>
      <c r="AC349" t="str">
        <f t="shared" si="106"/>
        <v>BX</v>
      </c>
      <c r="AD349" t="str">
        <f t="shared" si="107"/>
        <v>Standard Control</v>
      </c>
      <c r="AE349" t="str">
        <f t="shared" si="108"/>
        <v>Weekly</v>
      </c>
      <c r="AF349" t="str">
        <f t="shared" si="109"/>
        <v>Standard Replenishment</v>
      </c>
      <c r="AG349" t="str">
        <f t="shared" si="110"/>
        <v>Low</v>
      </c>
      <c r="AH349">
        <f t="shared" si="111"/>
        <v>30</v>
      </c>
      <c r="AI349" t="str">
        <f t="shared" si="112"/>
        <v>Low</v>
      </c>
    </row>
    <row r="350" spans="1:35">
      <c r="A350" t="s">
        <v>58</v>
      </c>
      <c r="B350" t="s">
        <v>21</v>
      </c>
      <c r="C350" t="s">
        <v>22</v>
      </c>
      <c r="D350" t="s">
        <v>41</v>
      </c>
      <c r="E350">
        <v>514</v>
      </c>
      <c r="F350">
        <v>120</v>
      </c>
      <c r="G350">
        <v>99</v>
      </c>
      <c r="H350">
        <v>18</v>
      </c>
      <c r="I350">
        <v>292.45</v>
      </c>
      <c r="J350">
        <v>0.2</v>
      </c>
      <c r="K350">
        <v>293</v>
      </c>
      <c r="L350">
        <v>0.81</v>
      </c>
      <c r="M350">
        <v>6</v>
      </c>
      <c r="N350" s="1">
        <f t="shared" si="95"/>
        <v>4</v>
      </c>
      <c r="O350" s="1">
        <f>N350*(1+Control_Panel!$B$2)</f>
        <v>4</v>
      </c>
      <c r="P350" s="12">
        <f t="shared" si="96"/>
        <v>0.82499999999999996</v>
      </c>
      <c r="Q350" t="str" cm="1">
        <f t="array" ref="Q350">_xlfn.IFS(P350&lt;0.2,"Stable",P350&lt;=0.5,"Moderate",P350&gt;0.5,"Highly veriable")</f>
        <v>Highly veriable</v>
      </c>
      <c r="R350" s="1">
        <f t="shared" si="97"/>
        <v>420.02142802480921</v>
      </c>
      <c r="S350" s="1">
        <f t="shared" si="98"/>
        <v>442.02142802480921</v>
      </c>
      <c r="T350" s="1">
        <f t="shared" si="99"/>
        <v>71.978571975190789</v>
      </c>
      <c r="U350" t="str">
        <f t="shared" si="100"/>
        <v xml:space="preserve"> Risk</v>
      </c>
      <c r="V350">
        <f t="shared" si="101"/>
        <v>1440</v>
      </c>
      <c r="W350" s="9">
        <f t="shared" si="102"/>
        <v>421128</v>
      </c>
      <c r="Y350">
        <f t="shared" si="103"/>
        <v>9.441698158358041E-4</v>
      </c>
      <c r="Z350" s="12">
        <f t="shared" si="113"/>
        <v>0.91280053993126142</v>
      </c>
      <c r="AA350" t="str">
        <f t="shared" si="104"/>
        <v>B</v>
      </c>
      <c r="AB350" t="str">
        <f t="shared" si="105"/>
        <v>Z</v>
      </c>
      <c r="AC350" t="str">
        <f t="shared" si="106"/>
        <v>BZ</v>
      </c>
      <c r="AD350" t="str">
        <f t="shared" si="107"/>
        <v>Risk Monitoring</v>
      </c>
      <c r="AE350" t="str">
        <f t="shared" si="108"/>
        <v>Weekly Risk Review</v>
      </c>
      <c r="AF350" t="str">
        <f t="shared" si="109"/>
        <v>Monitor Demand Variability</v>
      </c>
      <c r="AG350" t="str">
        <f t="shared" si="110"/>
        <v>Medium</v>
      </c>
      <c r="AH350">
        <f t="shared" si="111"/>
        <v>40</v>
      </c>
      <c r="AI350" t="str">
        <f t="shared" si="112"/>
        <v>Low</v>
      </c>
    </row>
    <row r="351" spans="1:35">
      <c r="A351" t="s">
        <v>510</v>
      </c>
      <c r="B351" t="s">
        <v>38</v>
      </c>
      <c r="C351" t="s">
        <v>15</v>
      </c>
      <c r="D351" t="s">
        <v>16</v>
      </c>
      <c r="E351">
        <v>677</v>
      </c>
      <c r="F351">
        <v>340</v>
      </c>
      <c r="G351">
        <v>70</v>
      </c>
      <c r="H351">
        <v>8</v>
      </c>
      <c r="I351">
        <v>102.54</v>
      </c>
      <c r="J351">
        <v>0.11</v>
      </c>
      <c r="K351">
        <v>261</v>
      </c>
      <c r="L351">
        <v>0.79</v>
      </c>
      <c r="M351">
        <v>1</v>
      </c>
      <c r="N351" s="1">
        <f t="shared" si="95"/>
        <v>11.333333333333334</v>
      </c>
      <c r="O351" s="1">
        <f>N351*(1+Control_Panel!$B$2)</f>
        <v>11.333333333333334</v>
      </c>
      <c r="P351" s="12">
        <f t="shared" si="96"/>
        <v>0.20588235294117646</v>
      </c>
      <c r="Q351" t="str" cm="1">
        <f t="array" ref="Q351">_xlfn.IFS(P351&lt;0.2,"Stable",P351&lt;=0.5,"Moderate",P351&gt;0.5,"Highly veriable")</f>
        <v>Moderate</v>
      </c>
      <c r="R351" s="1">
        <f t="shared" si="97"/>
        <v>197.98989873223331</v>
      </c>
      <c r="S351" s="1">
        <f t="shared" si="98"/>
        <v>217.32323206556666</v>
      </c>
      <c r="T351" s="1">
        <f t="shared" si="99"/>
        <v>459.67676793443331</v>
      </c>
      <c r="U351" t="str">
        <f t="shared" si="100"/>
        <v xml:space="preserve"> Safe</v>
      </c>
      <c r="V351">
        <f t="shared" si="101"/>
        <v>4080</v>
      </c>
      <c r="W351" s="9">
        <f t="shared" si="102"/>
        <v>418363.2</v>
      </c>
      <c r="Y351">
        <f t="shared" si="103"/>
        <v>9.3797112872209332E-4</v>
      </c>
      <c r="Z351" s="12">
        <f t="shared" si="113"/>
        <v>0.91373851105998349</v>
      </c>
      <c r="AA351" t="str">
        <f t="shared" si="104"/>
        <v>B</v>
      </c>
      <c r="AB351" t="str">
        <f t="shared" si="105"/>
        <v>Y</v>
      </c>
      <c r="AC351" t="str">
        <f t="shared" si="106"/>
        <v>BY</v>
      </c>
      <c r="AD351" t="str">
        <f t="shared" si="107"/>
        <v>Periodic Review</v>
      </c>
      <c r="AE351" t="str">
        <f t="shared" si="108"/>
        <v>Bi-Weekly</v>
      </c>
      <c r="AF351" t="str">
        <f t="shared" si="109"/>
        <v>Periodic Review</v>
      </c>
      <c r="AG351" t="str">
        <f t="shared" si="110"/>
        <v>Low</v>
      </c>
      <c r="AH351">
        <f t="shared" si="111"/>
        <v>30</v>
      </c>
      <c r="AI351" t="str">
        <f t="shared" si="112"/>
        <v>Low</v>
      </c>
    </row>
    <row r="352" spans="1:35">
      <c r="A352" t="s">
        <v>429</v>
      </c>
      <c r="B352" t="s">
        <v>36</v>
      </c>
      <c r="C352" t="s">
        <v>15</v>
      </c>
      <c r="D352" t="s">
        <v>19</v>
      </c>
      <c r="E352">
        <v>733</v>
      </c>
      <c r="F352">
        <v>457</v>
      </c>
      <c r="G352">
        <v>54</v>
      </c>
      <c r="H352">
        <v>21</v>
      </c>
      <c r="I352">
        <v>76.239999999999995</v>
      </c>
      <c r="J352">
        <v>0.11</v>
      </c>
      <c r="K352">
        <v>438</v>
      </c>
      <c r="L352">
        <v>0.97</v>
      </c>
      <c r="M352">
        <v>2</v>
      </c>
      <c r="N352" s="1">
        <f t="shared" si="95"/>
        <v>15.233333333333333</v>
      </c>
      <c r="O352" s="1">
        <f>N352*(1+Control_Panel!$B$2)</f>
        <v>15.233333333333333</v>
      </c>
      <c r="P352" s="12">
        <f t="shared" si="96"/>
        <v>0.11816192560175055</v>
      </c>
      <c r="Q352" t="str" cm="1">
        <f t="array" ref="Q352">_xlfn.IFS(P352&lt;0.2,"Stable",P352&lt;=0.5,"Moderate",P352&gt;0.5,"Highly veriable")</f>
        <v>Stable</v>
      </c>
      <c r="R352" s="1">
        <f t="shared" si="97"/>
        <v>247.45908752761534</v>
      </c>
      <c r="S352" s="1">
        <f t="shared" si="98"/>
        <v>283.69242086094869</v>
      </c>
      <c r="T352" s="1">
        <f t="shared" si="99"/>
        <v>449.30757913905131</v>
      </c>
      <c r="U352" t="str">
        <f t="shared" si="100"/>
        <v xml:space="preserve"> Safe</v>
      </c>
      <c r="V352">
        <f t="shared" si="101"/>
        <v>5484</v>
      </c>
      <c r="W352" s="9">
        <f t="shared" si="102"/>
        <v>418100.16</v>
      </c>
      <c r="Y352">
        <f t="shared" si="103"/>
        <v>9.3738139251752493E-4</v>
      </c>
      <c r="Z352" s="12">
        <f t="shared" si="113"/>
        <v>0.91467589245250103</v>
      </c>
      <c r="AA352" t="str">
        <f t="shared" si="104"/>
        <v>B</v>
      </c>
      <c r="AB352" t="str">
        <f t="shared" si="105"/>
        <v>X</v>
      </c>
      <c r="AC352" t="str">
        <f t="shared" si="106"/>
        <v>BX</v>
      </c>
      <c r="AD352" t="str">
        <f t="shared" si="107"/>
        <v>Standard Control</v>
      </c>
      <c r="AE352" t="str">
        <f t="shared" si="108"/>
        <v>Weekly</v>
      </c>
      <c r="AF352" t="str">
        <f t="shared" si="109"/>
        <v>Standard Replenishment</v>
      </c>
      <c r="AG352" t="str">
        <f t="shared" si="110"/>
        <v>Low</v>
      </c>
      <c r="AH352">
        <f t="shared" si="111"/>
        <v>30</v>
      </c>
      <c r="AI352" t="str">
        <f t="shared" si="112"/>
        <v>Low</v>
      </c>
    </row>
    <row r="353" spans="1:35">
      <c r="A353" t="s">
        <v>75</v>
      </c>
      <c r="B353" t="s">
        <v>40</v>
      </c>
      <c r="C353" t="s">
        <v>22</v>
      </c>
      <c r="D353" t="s">
        <v>19</v>
      </c>
      <c r="E353">
        <v>220</v>
      </c>
      <c r="F353">
        <v>294</v>
      </c>
      <c r="G353">
        <v>70</v>
      </c>
      <c r="H353">
        <v>20</v>
      </c>
      <c r="I353">
        <v>118.44</v>
      </c>
      <c r="J353">
        <v>0.16</v>
      </c>
      <c r="K353">
        <v>812</v>
      </c>
      <c r="L353">
        <v>0.98</v>
      </c>
      <c r="M353">
        <v>2</v>
      </c>
      <c r="N353" s="1">
        <f t="shared" si="95"/>
        <v>9.8000000000000007</v>
      </c>
      <c r="O353" s="1">
        <f>N353*(1+Control_Panel!$B$2)</f>
        <v>9.8000000000000007</v>
      </c>
      <c r="P353" s="12">
        <f t="shared" si="96"/>
        <v>0.23809523809523808</v>
      </c>
      <c r="Q353" t="str" cm="1">
        <f t="array" ref="Q353">_xlfn.IFS(P353&lt;0.2,"Stable",P353&lt;=0.5,"Moderate",P353&gt;0.5,"Highly veriable")</f>
        <v>Moderate</v>
      </c>
      <c r="R353" s="1">
        <f t="shared" si="97"/>
        <v>313.04951684997059</v>
      </c>
      <c r="S353" s="1">
        <f t="shared" si="98"/>
        <v>342.8495168499706</v>
      </c>
      <c r="T353" s="1">
        <f t="shared" si="99"/>
        <v>-122.8495168499706</v>
      </c>
      <c r="U353" t="str">
        <f t="shared" si="100"/>
        <v xml:space="preserve"> Need to Order</v>
      </c>
      <c r="V353">
        <f t="shared" si="101"/>
        <v>3528</v>
      </c>
      <c r="W353" s="9">
        <f t="shared" si="102"/>
        <v>417856.32</v>
      </c>
      <c r="Y353">
        <f t="shared" si="103"/>
        <v>9.368347027512463E-4</v>
      </c>
      <c r="Z353" s="12">
        <f t="shared" si="113"/>
        <v>0.91561272715525233</v>
      </c>
      <c r="AA353" t="str">
        <f t="shared" si="104"/>
        <v>B</v>
      </c>
      <c r="AB353" t="str">
        <f t="shared" si="105"/>
        <v>Y</v>
      </c>
      <c r="AC353" t="str">
        <f t="shared" si="106"/>
        <v>BY</v>
      </c>
      <c r="AD353" t="str">
        <f t="shared" si="107"/>
        <v>Periodic Review</v>
      </c>
      <c r="AE353" t="str">
        <f t="shared" si="108"/>
        <v>Bi-Weekly</v>
      </c>
      <c r="AF353" t="str">
        <f t="shared" si="109"/>
        <v>Periodic Review</v>
      </c>
      <c r="AG353" t="str">
        <f t="shared" si="110"/>
        <v>Low</v>
      </c>
      <c r="AH353">
        <f t="shared" si="111"/>
        <v>30</v>
      </c>
      <c r="AI353" t="str">
        <f t="shared" si="112"/>
        <v>Low</v>
      </c>
    </row>
    <row r="354" spans="1:35">
      <c r="A354" t="s">
        <v>494</v>
      </c>
      <c r="B354" t="s">
        <v>21</v>
      </c>
      <c r="C354" t="s">
        <v>15</v>
      </c>
      <c r="D354" t="s">
        <v>41</v>
      </c>
      <c r="E354">
        <v>245</v>
      </c>
      <c r="F354">
        <v>223</v>
      </c>
      <c r="G354">
        <v>96</v>
      </c>
      <c r="H354">
        <v>12</v>
      </c>
      <c r="I354">
        <v>155.11000000000001</v>
      </c>
      <c r="J354">
        <v>0.05</v>
      </c>
      <c r="K354">
        <v>108</v>
      </c>
      <c r="L354">
        <v>0.82</v>
      </c>
      <c r="M354">
        <v>8</v>
      </c>
      <c r="N354" s="1">
        <f t="shared" si="95"/>
        <v>7.4333333333333336</v>
      </c>
      <c r="O354" s="1">
        <f>N354*(1+Control_Panel!$B$2)</f>
        <v>7.4333333333333336</v>
      </c>
      <c r="P354" s="12">
        <f t="shared" si="96"/>
        <v>0.43049327354260092</v>
      </c>
      <c r="Q354" t="str" cm="1">
        <f t="array" ref="Q354">_xlfn.IFS(P354&lt;0.2,"Stable",P354&lt;=0.5,"Moderate",P354&gt;0.5,"Highly veriable")</f>
        <v>Moderate</v>
      </c>
      <c r="R354" s="1">
        <f t="shared" si="97"/>
        <v>332.55375505322445</v>
      </c>
      <c r="S354" s="1">
        <f t="shared" si="98"/>
        <v>351.98708838655779</v>
      </c>
      <c r="T354" s="1">
        <f t="shared" si="99"/>
        <v>-106.98708838655779</v>
      </c>
      <c r="U354" t="str">
        <f t="shared" si="100"/>
        <v xml:space="preserve"> Need to Order</v>
      </c>
      <c r="V354">
        <f t="shared" si="101"/>
        <v>2676</v>
      </c>
      <c r="W354" s="9">
        <f t="shared" si="102"/>
        <v>415074.36000000004</v>
      </c>
      <c r="Y354">
        <f t="shared" si="103"/>
        <v>9.3059754288331417E-4</v>
      </c>
      <c r="Z354" s="12">
        <f t="shared" si="113"/>
        <v>0.9165433246981356</v>
      </c>
      <c r="AA354" t="str">
        <f t="shared" si="104"/>
        <v>B</v>
      </c>
      <c r="AB354" t="str">
        <f t="shared" si="105"/>
        <v>Y</v>
      </c>
      <c r="AC354" t="str">
        <f t="shared" si="106"/>
        <v>BY</v>
      </c>
      <c r="AD354" t="str">
        <f t="shared" si="107"/>
        <v>Periodic Review</v>
      </c>
      <c r="AE354" t="str">
        <f t="shared" si="108"/>
        <v>Bi-Weekly</v>
      </c>
      <c r="AF354" t="str">
        <f t="shared" si="109"/>
        <v>Periodic Review</v>
      </c>
      <c r="AG354" t="str">
        <f t="shared" si="110"/>
        <v>Low</v>
      </c>
      <c r="AH354">
        <f t="shared" si="111"/>
        <v>50</v>
      </c>
      <c r="AI354" t="str">
        <f t="shared" si="112"/>
        <v>Medium</v>
      </c>
    </row>
    <row r="355" spans="1:35">
      <c r="A355" t="s">
        <v>385</v>
      </c>
      <c r="B355" t="s">
        <v>38</v>
      </c>
      <c r="C355" t="s">
        <v>22</v>
      </c>
      <c r="D355" t="s">
        <v>41</v>
      </c>
      <c r="E355">
        <v>903</v>
      </c>
      <c r="F355">
        <v>139</v>
      </c>
      <c r="G355">
        <v>30</v>
      </c>
      <c r="H355">
        <v>11</v>
      </c>
      <c r="I355">
        <v>248.12</v>
      </c>
      <c r="J355">
        <v>0.11</v>
      </c>
      <c r="K355">
        <v>691</v>
      </c>
      <c r="L355">
        <v>0.84</v>
      </c>
      <c r="M355">
        <v>2</v>
      </c>
      <c r="N355" s="1">
        <f t="shared" si="95"/>
        <v>4.6333333333333337</v>
      </c>
      <c r="O355" s="1">
        <f>N355*(1+Control_Panel!$B$2)</f>
        <v>4.6333333333333337</v>
      </c>
      <c r="P355" s="12">
        <f t="shared" si="96"/>
        <v>0.21582733812949639</v>
      </c>
      <c r="Q355" t="str" cm="1">
        <f t="array" ref="Q355">_xlfn.IFS(P355&lt;0.2,"Stable",P355&lt;=0.5,"Moderate",P355&gt;0.5,"Highly veriable")</f>
        <v>Moderate</v>
      </c>
      <c r="R355" s="1">
        <f t="shared" si="97"/>
        <v>99.498743710661998</v>
      </c>
      <c r="S355" s="1">
        <f t="shared" si="98"/>
        <v>115.13207704399534</v>
      </c>
      <c r="T355" s="1">
        <f t="shared" si="99"/>
        <v>787.86792295600469</v>
      </c>
      <c r="U355" t="str">
        <f t="shared" si="100"/>
        <v xml:space="preserve"> Safe</v>
      </c>
      <c r="V355">
        <f t="shared" si="101"/>
        <v>1668</v>
      </c>
      <c r="W355" s="9">
        <f t="shared" si="102"/>
        <v>413864.16000000003</v>
      </c>
      <c r="Y355">
        <f t="shared" si="103"/>
        <v>9.2788427206986904E-4</v>
      </c>
      <c r="Z355" s="12">
        <f t="shared" si="113"/>
        <v>0.91747120897020551</v>
      </c>
      <c r="AA355" t="str">
        <f t="shared" si="104"/>
        <v>B</v>
      </c>
      <c r="AB355" t="str">
        <f t="shared" si="105"/>
        <v>Y</v>
      </c>
      <c r="AC355" t="str">
        <f t="shared" si="106"/>
        <v>BY</v>
      </c>
      <c r="AD355" t="str">
        <f t="shared" si="107"/>
        <v>Periodic Review</v>
      </c>
      <c r="AE355" t="str">
        <f t="shared" si="108"/>
        <v>Bi-Weekly</v>
      </c>
      <c r="AF355" t="str">
        <f t="shared" si="109"/>
        <v>Periodic Review</v>
      </c>
      <c r="AG355" t="str">
        <f t="shared" si="110"/>
        <v>Low</v>
      </c>
      <c r="AH355">
        <f t="shared" si="111"/>
        <v>30</v>
      </c>
      <c r="AI355" t="str">
        <f t="shared" si="112"/>
        <v>Low</v>
      </c>
    </row>
    <row r="356" spans="1:35">
      <c r="A356" t="s">
        <v>159</v>
      </c>
      <c r="B356" t="s">
        <v>14</v>
      </c>
      <c r="C356" t="s">
        <v>22</v>
      </c>
      <c r="D356" t="s">
        <v>25</v>
      </c>
      <c r="E356">
        <v>558</v>
      </c>
      <c r="F356">
        <v>304</v>
      </c>
      <c r="G356">
        <v>70</v>
      </c>
      <c r="H356">
        <v>9</v>
      </c>
      <c r="I356">
        <v>112.94</v>
      </c>
      <c r="J356">
        <v>0.24</v>
      </c>
      <c r="K356">
        <v>421</v>
      </c>
      <c r="L356">
        <v>0.71</v>
      </c>
      <c r="M356">
        <v>7</v>
      </c>
      <c r="N356" s="1">
        <f t="shared" si="95"/>
        <v>10.133333333333333</v>
      </c>
      <c r="O356" s="1">
        <f>N356*(1+Control_Panel!$B$2)</f>
        <v>10.133333333333333</v>
      </c>
      <c r="P356" s="12">
        <f t="shared" si="96"/>
        <v>0.23026315789473684</v>
      </c>
      <c r="Q356" t="str" cm="1">
        <f t="array" ref="Q356">_xlfn.IFS(P356&lt;0.2,"Stable",P356&lt;=0.5,"Moderate",P356&gt;0.5,"Highly veriable")</f>
        <v>Moderate</v>
      </c>
      <c r="R356" s="1">
        <f t="shared" si="97"/>
        <v>210</v>
      </c>
      <c r="S356" s="1">
        <f t="shared" si="98"/>
        <v>229.13333333333333</v>
      </c>
      <c r="T356" s="1">
        <f t="shared" si="99"/>
        <v>328.86666666666667</v>
      </c>
      <c r="U356" t="str">
        <f t="shared" si="100"/>
        <v xml:space="preserve"> Safe</v>
      </c>
      <c r="V356">
        <f t="shared" si="101"/>
        <v>3648</v>
      </c>
      <c r="W356" s="9">
        <f t="shared" si="102"/>
        <v>412005.12</v>
      </c>
      <c r="Y356">
        <f t="shared" si="103"/>
        <v>9.2371630068247273E-4</v>
      </c>
      <c r="Z356" s="12">
        <f t="shared" si="113"/>
        <v>0.91839492527088795</v>
      </c>
      <c r="AA356" t="str">
        <f t="shared" si="104"/>
        <v>B</v>
      </c>
      <c r="AB356" t="str">
        <f t="shared" si="105"/>
        <v>Y</v>
      </c>
      <c r="AC356" t="str">
        <f t="shared" si="106"/>
        <v>BY</v>
      </c>
      <c r="AD356" t="str">
        <f t="shared" si="107"/>
        <v>Periodic Review</v>
      </c>
      <c r="AE356" t="str">
        <f t="shared" si="108"/>
        <v>Bi-Weekly</v>
      </c>
      <c r="AF356" t="str">
        <f t="shared" si="109"/>
        <v>Periodic Review</v>
      </c>
      <c r="AG356" t="str">
        <f t="shared" si="110"/>
        <v>Low</v>
      </c>
      <c r="AH356">
        <f t="shared" si="111"/>
        <v>40</v>
      </c>
      <c r="AI356" t="str">
        <f t="shared" si="112"/>
        <v>Low</v>
      </c>
    </row>
    <row r="357" spans="1:35">
      <c r="A357" t="s">
        <v>115</v>
      </c>
      <c r="B357" t="s">
        <v>21</v>
      </c>
      <c r="C357" t="s">
        <v>15</v>
      </c>
      <c r="D357" t="s">
        <v>41</v>
      </c>
      <c r="E357">
        <v>951</v>
      </c>
      <c r="F357">
        <v>248</v>
      </c>
      <c r="G357">
        <v>91</v>
      </c>
      <c r="H357">
        <v>12</v>
      </c>
      <c r="I357">
        <v>137.5</v>
      </c>
      <c r="J357">
        <v>0.08</v>
      </c>
      <c r="K357">
        <v>847</v>
      </c>
      <c r="L357">
        <v>0.98</v>
      </c>
      <c r="M357">
        <v>10</v>
      </c>
      <c r="N357" s="1">
        <f t="shared" si="95"/>
        <v>8.2666666666666675</v>
      </c>
      <c r="O357" s="1">
        <f>N357*(1+Control_Panel!$B$2)</f>
        <v>8.2666666666666675</v>
      </c>
      <c r="P357" s="12">
        <f t="shared" si="96"/>
        <v>0.36693548387096775</v>
      </c>
      <c r="Q357" t="str" cm="1">
        <f t="array" ref="Q357">_xlfn.IFS(P357&lt;0.2,"Stable",P357&lt;=0.5,"Moderate",P357&gt;0.5,"Highly veriable")</f>
        <v>Moderate</v>
      </c>
      <c r="R357" s="1">
        <f t="shared" si="97"/>
        <v>315.23324697753566</v>
      </c>
      <c r="S357" s="1">
        <f t="shared" si="98"/>
        <v>335.49991364420231</v>
      </c>
      <c r="T357" s="1">
        <f t="shared" si="99"/>
        <v>615.50008635579775</v>
      </c>
      <c r="U357" t="str">
        <f t="shared" si="100"/>
        <v xml:space="preserve"> Safe</v>
      </c>
      <c r="V357">
        <f t="shared" si="101"/>
        <v>2976</v>
      </c>
      <c r="W357" s="9">
        <f t="shared" si="102"/>
        <v>409200</v>
      </c>
      <c r="Y357">
        <f t="shared" si="103"/>
        <v>9.1742721604835364E-4</v>
      </c>
      <c r="Z357" s="12">
        <f t="shared" si="113"/>
        <v>0.91931235248693632</v>
      </c>
      <c r="AA357" t="str">
        <f t="shared" si="104"/>
        <v>B</v>
      </c>
      <c r="AB357" t="str">
        <f t="shared" si="105"/>
        <v>Y</v>
      </c>
      <c r="AC357" t="str">
        <f t="shared" si="106"/>
        <v>BY</v>
      </c>
      <c r="AD357" t="str">
        <f t="shared" si="107"/>
        <v>Periodic Review</v>
      </c>
      <c r="AE357" t="str">
        <f t="shared" si="108"/>
        <v>Bi-Weekly</v>
      </c>
      <c r="AF357" t="str">
        <f t="shared" si="109"/>
        <v>Periodic Review</v>
      </c>
      <c r="AG357" t="str">
        <f t="shared" si="110"/>
        <v>Low</v>
      </c>
      <c r="AH357">
        <f t="shared" si="111"/>
        <v>50</v>
      </c>
      <c r="AI357" t="str">
        <f t="shared" si="112"/>
        <v>Medium</v>
      </c>
    </row>
    <row r="358" spans="1:35">
      <c r="A358" t="s">
        <v>223</v>
      </c>
      <c r="B358" t="s">
        <v>21</v>
      </c>
      <c r="C358" t="s">
        <v>15</v>
      </c>
      <c r="D358" t="s">
        <v>25</v>
      </c>
      <c r="E358">
        <v>95</v>
      </c>
      <c r="F358">
        <v>381</v>
      </c>
      <c r="G358">
        <v>64</v>
      </c>
      <c r="H358">
        <v>14</v>
      </c>
      <c r="I358">
        <v>88.77</v>
      </c>
      <c r="J358">
        <v>0.2</v>
      </c>
      <c r="K358">
        <v>631</v>
      </c>
      <c r="L358">
        <v>0.94</v>
      </c>
      <c r="M358">
        <v>9</v>
      </c>
      <c r="N358" s="1">
        <f t="shared" si="95"/>
        <v>12.7</v>
      </c>
      <c r="O358" s="1">
        <f>N358*(1+Control_Panel!$B$2)</f>
        <v>12.7</v>
      </c>
      <c r="P358" s="12">
        <f t="shared" si="96"/>
        <v>0.16797900262467191</v>
      </c>
      <c r="Q358" t="str" cm="1">
        <f t="array" ref="Q358">_xlfn.IFS(P358&lt;0.2,"Stable",P358&lt;=0.5,"Moderate",P358&gt;0.5,"Highly veriable")</f>
        <v>Stable</v>
      </c>
      <c r="R358" s="1">
        <f t="shared" si="97"/>
        <v>239.46607275353225</v>
      </c>
      <c r="S358" s="1">
        <f t="shared" si="98"/>
        <v>266.16607275353226</v>
      </c>
      <c r="T358" s="1">
        <f t="shared" si="99"/>
        <v>-171.16607275353226</v>
      </c>
      <c r="U358" t="str">
        <f t="shared" si="100"/>
        <v xml:space="preserve"> Need to Order</v>
      </c>
      <c r="V358">
        <f t="shared" si="101"/>
        <v>4572</v>
      </c>
      <c r="W358" s="9">
        <f t="shared" si="102"/>
        <v>405856.44</v>
      </c>
      <c r="Y358">
        <f t="shared" si="103"/>
        <v>9.0993094786044886E-4</v>
      </c>
      <c r="Z358" s="12">
        <f t="shared" si="113"/>
        <v>0.92022228343479673</v>
      </c>
      <c r="AA358" t="str">
        <f t="shared" si="104"/>
        <v>B</v>
      </c>
      <c r="AB358" t="str">
        <f t="shared" si="105"/>
        <v>X</v>
      </c>
      <c r="AC358" t="str">
        <f t="shared" si="106"/>
        <v>BX</v>
      </c>
      <c r="AD358" t="str">
        <f t="shared" si="107"/>
        <v>Standard Control</v>
      </c>
      <c r="AE358" t="str">
        <f t="shared" si="108"/>
        <v>Weekly</v>
      </c>
      <c r="AF358" t="str">
        <f t="shared" si="109"/>
        <v>Standard Replenishment</v>
      </c>
      <c r="AG358" t="str">
        <f t="shared" si="110"/>
        <v>Low</v>
      </c>
      <c r="AH358">
        <f t="shared" si="111"/>
        <v>50</v>
      </c>
      <c r="AI358" t="str">
        <f t="shared" si="112"/>
        <v>Medium</v>
      </c>
    </row>
    <row r="359" spans="1:35">
      <c r="A359" t="s">
        <v>131</v>
      </c>
      <c r="B359" t="s">
        <v>21</v>
      </c>
      <c r="C359" t="s">
        <v>15</v>
      </c>
      <c r="D359" t="s">
        <v>16</v>
      </c>
      <c r="E359">
        <v>829</v>
      </c>
      <c r="F359">
        <v>488</v>
      </c>
      <c r="G359">
        <v>34</v>
      </c>
      <c r="H359">
        <v>3</v>
      </c>
      <c r="I359">
        <v>68.38</v>
      </c>
      <c r="J359">
        <v>0.2</v>
      </c>
      <c r="K359">
        <v>985</v>
      </c>
      <c r="L359">
        <v>0.75</v>
      </c>
      <c r="M359">
        <v>10</v>
      </c>
      <c r="N359" s="1">
        <f t="shared" si="95"/>
        <v>16.266666666666666</v>
      </c>
      <c r="O359" s="1">
        <f>N359*(1+Control_Panel!$B$2)</f>
        <v>16.266666666666666</v>
      </c>
      <c r="P359" s="12">
        <f t="shared" si="96"/>
        <v>6.9672131147540978E-2</v>
      </c>
      <c r="Q359" t="str" cm="1">
        <f t="array" ref="Q359">_xlfn.IFS(P359&lt;0.2,"Stable",P359&lt;=0.5,"Moderate",P359&gt;0.5,"Highly veriable")</f>
        <v>Stable</v>
      </c>
      <c r="R359" s="1">
        <f t="shared" si="97"/>
        <v>58.889727457341827</v>
      </c>
      <c r="S359" s="1">
        <f t="shared" si="98"/>
        <v>78.1563941240085</v>
      </c>
      <c r="T359" s="1">
        <f t="shared" si="99"/>
        <v>750.84360587599144</v>
      </c>
      <c r="U359" t="str">
        <f t="shared" si="100"/>
        <v xml:space="preserve"> Safe</v>
      </c>
      <c r="V359">
        <f t="shared" si="101"/>
        <v>5856</v>
      </c>
      <c r="W359" s="9">
        <f t="shared" si="102"/>
        <v>400433.27999999997</v>
      </c>
      <c r="Y359">
        <f t="shared" si="103"/>
        <v>8.9777221232529528E-4</v>
      </c>
      <c r="Z359" s="12">
        <f t="shared" si="113"/>
        <v>0.92112005564712207</v>
      </c>
      <c r="AA359" t="str">
        <f t="shared" si="104"/>
        <v>B</v>
      </c>
      <c r="AB359" t="str">
        <f t="shared" si="105"/>
        <v>X</v>
      </c>
      <c r="AC359" t="str">
        <f t="shared" si="106"/>
        <v>BX</v>
      </c>
      <c r="AD359" t="str">
        <f t="shared" si="107"/>
        <v>Standard Control</v>
      </c>
      <c r="AE359" t="str">
        <f t="shared" si="108"/>
        <v>Weekly</v>
      </c>
      <c r="AF359" t="str">
        <f t="shared" si="109"/>
        <v>Standard Replenishment</v>
      </c>
      <c r="AG359" t="str">
        <f t="shared" si="110"/>
        <v>Low</v>
      </c>
      <c r="AH359">
        <f t="shared" si="111"/>
        <v>50</v>
      </c>
      <c r="AI359" t="str">
        <f t="shared" si="112"/>
        <v>Medium</v>
      </c>
    </row>
    <row r="360" spans="1:35">
      <c r="A360" t="s">
        <v>413</v>
      </c>
      <c r="B360" t="s">
        <v>36</v>
      </c>
      <c r="C360" t="s">
        <v>15</v>
      </c>
      <c r="D360" t="s">
        <v>41</v>
      </c>
      <c r="E360">
        <v>267</v>
      </c>
      <c r="F360">
        <v>117</v>
      </c>
      <c r="G360">
        <v>44</v>
      </c>
      <c r="H360">
        <v>24</v>
      </c>
      <c r="I360">
        <v>279.86</v>
      </c>
      <c r="J360">
        <v>0.15</v>
      </c>
      <c r="K360">
        <v>868</v>
      </c>
      <c r="L360">
        <v>0.98</v>
      </c>
      <c r="M360">
        <v>3</v>
      </c>
      <c r="N360" s="1">
        <f t="shared" si="95"/>
        <v>3.9</v>
      </c>
      <c r="O360" s="1">
        <f>N360*(1+Control_Panel!$B$2)</f>
        <v>3.9</v>
      </c>
      <c r="P360" s="12">
        <f t="shared" si="96"/>
        <v>0.37606837606837606</v>
      </c>
      <c r="Q360" t="str" cm="1">
        <f t="array" ref="Q360">_xlfn.IFS(P360&lt;0.2,"Stable",P360&lt;=0.5,"Moderate",P360&gt;0.5,"Highly veriable")</f>
        <v>Moderate</v>
      </c>
      <c r="R360" s="1">
        <f t="shared" si="97"/>
        <v>215.55509736491965</v>
      </c>
      <c r="S360" s="1">
        <f t="shared" si="98"/>
        <v>243.45509736491965</v>
      </c>
      <c r="T360" s="1">
        <f t="shared" si="99"/>
        <v>23.544902635080348</v>
      </c>
      <c r="U360" t="str">
        <f t="shared" si="100"/>
        <v xml:space="preserve"> Risk</v>
      </c>
      <c r="V360">
        <f t="shared" si="101"/>
        <v>1404</v>
      </c>
      <c r="W360" s="9">
        <f t="shared" si="102"/>
        <v>392923.44</v>
      </c>
      <c r="Y360">
        <f t="shared" si="103"/>
        <v>8.8093513606877399E-4</v>
      </c>
      <c r="Z360" s="12">
        <f t="shared" si="113"/>
        <v>0.92200099078319087</v>
      </c>
      <c r="AA360" t="str">
        <f t="shared" si="104"/>
        <v>B</v>
      </c>
      <c r="AB360" t="str">
        <f t="shared" si="105"/>
        <v>Y</v>
      </c>
      <c r="AC360" t="str">
        <f t="shared" si="106"/>
        <v>BY</v>
      </c>
      <c r="AD360" t="str">
        <f t="shared" si="107"/>
        <v>Periodic Review</v>
      </c>
      <c r="AE360" t="str">
        <f t="shared" si="108"/>
        <v>Bi-Weekly</v>
      </c>
      <c r="AF360" t="str">
        <f t="shared" si="109"/>
        <v>Periodic Review</v>
      </c>
      <c r="AG360" t="str">
        <f t="shared" si="110"/>
        <v>Low</v>
      </c>
      <c r="AH360">
        <f t="shared" si="111"/>
        <v>30</v>
      </c>
      <c r="AI360" t="str">
        <f t="shared" si="112"/>
        <v>Low</v>
      </c>
    </row>
    <row r="361" spans="1:35">
      <c r="A361" t="s">
        <v>109</v>
      </c>
      <c r="B361" t="s">
        <v>40</v>
      </c>
      <c r="C361" t="s">
        <v>15</v>
      </c>
      <c r="D361" t="s">
        <v>23</v>
      </c>
      <c r="E361">
        <v>625</v>
      </c>
      <c r="F361">
        <v>113</v>
      </c>
      <c r="G361">
        <v>52</v>
      </c>
      <c r="H361">
        <v>6</v>
      </c>
      <c r="I361">
        <v>286.10000000000002</v>
      </c>
      <c r="J361">
        <v>0.23</v>
      </c>
      <c r="K361">
        <v>230</v>
      </c>
      <c r="L361">
        <v>0.78</v>
      </c>
      <c r="M361">
        <v>3</v>
      </c>
      <c r="N361" s="1">
        <f t="shared" si="95"/>
        <v>3.7666666666666666</v>
      </c>
      <c r="O361" s="1">
        <f>N361*(1+Control_Panel!$B$2)</f>
        <v>3.7666666666666666</v>
      </c>
      <c r="P361" s="12">
        <f t="shared" si="96"/>
        <v>0.46017699115044247</v>
      </c>
      <c r="Q361" t="str" cm="1">
        <f t="array" ref="Q361">_xlfn.IFS(P361&lt;0.2,"Stable",P361&lt;=0.5,"Moderate",P361&gt;0.5,"Highly veriable")</f>
        <v>Moderate</v>
      </c>
      <c r="R361" s="1">
        <f t="shared" si="97"/>
        <v>127.37346662472525</v>
      </c>
      <c r="S361" s="1">
        <f t="shared" si="98"/>
        <v>137.14013329139192</v>
      </c>
      <c r="T361" s="1">
        <f t="shared" si="99"/>
        <v>487.85986670860808</v>
      </c>
      <c r="U361" t="str">
        <f t="shared" si="100"/>
        <v xml:space="preserve"> Safe</v>
      </c>
      <c r="V361">
        <f t="shared" si="101"/>
        <v>1356</v>
      </c>
      <c r="W361" s="9">
        <f t="shared" si="102"/>
        <v>387951.60000000003</v>
      </c>
      <c r="Y361">
        <f t="shared" si="103"/>
        <v>8.6978826087366688E-4</v>
      </c>
      <c r="Z361" s="12">
        <f t="shared" si="113"/>
        <v>0.92287077904406456</v>
      </c>
      <c r="AA361" t="str">
        <f t="shared" si="104"/>
        <v>B</v>
      </c>
      <c r="AB361" t="str">
        <f t="shared" si="105"/>
        <v>Y</v>
      </c>
      <c r="AC361" t="str">
        <f t="shared" si="106"/>
        <v>BY</v>
      </c>
      <c r="AD361" t="str">
        <f t="shared" si="107"/>
        <v>Periodic Review</v>
      </c>
      <c r="AE361" t="str">
        <f t="shared" si="108"/>
        <v>Bi-Weekly</v>
      </c>
      <c r="AF361" t="str">
        <f t="shared" si="109"/>
        <v>Periodic Review</v>
      </c>
      <c r="AG361" t="str">
        <f t="shared" si="110"/>
        <v>Low</v>
      </c>
      <c r="AH361">
        <f t="shared" si="111"/>
        <v>30</v>
      </c>
      <c r="AI361" t="str">
        <f t="shared" si="112"/>
        <v>Low</v>
      </c>
    </row>
    <row r="362" spans="1:35">
      <c r="A362" t="s">
        <v>400</v>
      </c>
      <c r="B362" t="s">
        <v>18</v>
      </c>
      <c r="C362" t="s">
        <v>22</v>
      </c>
      <c r="D362" t="s">
        <v>16</v>
      </c>
      <c r="E362">
        <v>105</v>
      </c>
      <c r="F362">
        <v>139</v>
      </c>
      <c r="G362">
        <v>94</v>
      </c>
      <c r="H362">
        <v>19</v>
      </c>
      <c r="I362">
        <v>232.21</v>
      </c>
      <c r="J362">
        <v>0.1</v>
      </c>
      <c r="K362">
        <v>527</v>
      </c>
      <c r="L362">
        <v>0.92</v>
      </c>
      <c r="M362">
        <v>6</v>
      </c>
      <c r="N362" s="1">
        <f t="shared" si="95"/>
        <v>4.6333333333333337</v>
      </c>
      <c r="O362" s="1">
        <f>N362*(1+Control_Panel!$B$2)</f>
        <v>4.6333333333333337</v>
      </c>
      <c r="P362" s="12">
        <f t="shared" si="96"/>
        <v>0.67625899280575541</v>
      </c>
      <c r="Q362" t="str" cm="1">
        <f t="array" ref="Q362">_xlfn.IFS(P362&lt;0.2,"Stable",P362&lt;=0.5,"Moderate",P362&gt;0.5,"Highly veriable")</f>
        <v>Highly veriable</v>
      </c>
      <c r="R362" s="1">
        <f t="shared" si="97"/>
        <v>409.73650069282337</v>
      </c>
      <c r="S362" s="1">
        <f t="shared" si="98"/>
        <v>433.3698340261567</v>
      </c>
      <c r="T362" s="1">
        <f t="shared" si="99"/>
        <v>-328.3698340261567</v>
      </c>
      <c r="U362" t="str">
        <f t="shared" si="100"/>
        <v xml:space="preserve"> Need to Order</v>
      </c>
      <c r="V362">
        <f t="shared" si="101"/>
        <v>1668</v>
      </c>
      <c r="W362" s="9">
        <f t="shared" si="102"/>
        <v>387326.28</v>
      </c>
      <c r="Y362">
        <f t="shared" si="103"/>
        <v>8.6838629218662056E-4</v>
      </c>
      <c r="Z362" s="12">
        <f t="shared" si="113"/>
        <v>0.92373916533625122</v>
      </c>
      <c r="AA362" t="str">
        <f t="shared" si="104"/>
        <v>B</v>
      </c>
      <c r="AB362" t="str">
        <f t="shared" si="105"/>
        <v>Z</v>
      </c>
      <c r="AC362" t="str">
        <f t="shared" si="106"/>
        <v>BZ</v>
      </c>
      <c r="AD362" t="str">
        <f t="shared" si="107"/>
        <v>Risk Monitoring</v>
      </c>
      <c r="AE362" t="str">
        <f t="shared" si="108"/>
        <v>Weekly Risk Review</v>
      </c>
      <c r="AF362" t="str">
        <f t="shared" si="109"/>
        <v>Monitor Demand Variability</v>
      </c>
      <c r="AG362" t="str">
        <f t="shared" si="110"/>
        <v>Medium</v>
      </c>
      <c r="AH362">
        <f t="shared" si="111"/>
        <v>40</v>
      </c>
      <c r="AI362" t="str">
        <f t="shared" si="112"/>
        <v>Low</v>
      </c>
    </row>
    <row r="363" spans="1:35">
      <c r="A363" t="s">
        <v>481</v>
      </c>
      <c r="B363" t="s">
        <v>36</v>
      </c>
      <c r="C363" t="s">
        <v>15</v>
      </c>
      <c r="D363" t="s">
        <v>41</v>
      </c>
      <c r="E363">
        <v>427</v>
      </c>
      <c r="F363">
        <v>69</v>
      </c>
      <c r="G363">
        <v>52</v>
      </c>
      <c r="H363">
        <v>29</v>
      </c>
      <c r="I363">
        <v>467.32</v>
      </c>
      <c r="J363">
        <v>0.09</v>
      </c>
      <c r="K363">
        <v>986</v>
      </c>
      <c r="L363">
        <v>0.7</v>
      </c>
      <c r="M363">
        <v>4</v>
      </c>
      <c r="N363" s="1">
        <f t="shared" si="95"/>
        <v>2.2999999999999998</v>
      </c>
      <c r="O363" s="1">
        <f>N363*(1+Control_Panel!$B$2)</f>
        <v>2.2999999999999998</v>
      </c>
      <c r="P363" s="12">
        <f t="shared" si="96"/>
        <v>0.75362318840579712</v>
      </c>
      <c r="Q363" t="str" cm="1">
        <f t="array" ref="Q363">_xlfn.IFS(P363&lt;0.2,"Stable",P363&lt;=0.5,"Moderate",P363&gt;0.5,"Highly veriable")</f>
        <v>Highly veriable</v>
      </c>
      <c r="R363" s="1">
        <f t="shared" si="97"/>
        <v>280.02856997099417</v>
      </c>
      <c r="S363" s="1">
        <f t="shared" si="98"/>
        <v>311.32856997099418</v>
      </c>
      <c r="T363" s="1">
        <f t="shared" si="99"/>
        <v>115.67143002900582</v>
      </c>
      <c r="U363" t="str">
        <f t="shared" si="100"/>
        <v xml:space="preserve"> Risk</v>
      </c>
      <c r="V363">
        <f t="shared" si="101"/>
        <v>828</v>
      </c>
      <c r="W363" s="9">
        <f t="shared" si="102"/>
        <v>386940.96</v>
      </c>
      <c r="Y363">
        <f t="shared" si="103"/>
        <v>8.6752240397819488E-4</v>
      </c>
      <c r="Z363" s="12">
        <f t="shared" si="113"/>
        <v>0.92460668774022947</v>
      </c>
      <c r="AA363" t="str">
        <f t="shared" si="104"/>
        <v>B</v>
      </c>
      <c r="AB363" t="str">
        <f t="shared" si="105"/>
        <v>Z</v>
      </c>
      <c r="AC363" t="str">
        <f t="shared" si="106"/>
        <v>BZ</v>
      </c>
      <c r="AD363" t="str">
        <f t="shared" si="107"/>
        <v>Risk Monitoring</v>
      </c>
      <c r="AE363" t="str">
        <f t="shared" si="108"/>
        <v>Weekly Risk Review</v>
      </c>
      <c r="AF363" t="str">
        <f t="shared" si="109"/>
        <v>Monitor Demand Variability</v>
      </c>
      <c r="AG363" t="str">
        <f t="shared" si="110"/>
        <v>Medium</v>
      </c>
      <c r="AH363">
        <f t="shared" si="111"/>
        <v>30</v>
      </c>
      <c r="AI363" t="str">
        <f t="shared" si="112"/>
        <v>Low</v>
      </c>
    </row>
    <row r="364" spans="1:35">
      <c r="A364" t="s">
        <v>140</v>
      </c>
      <c r="B364" t="s">
        <v>14</v>
      </c>
      <c r="C364" t="s">
        <v>15</v>
      </c>
      <c r="D364" t="s">
        <v>16</v>
      </c>
      <c r="E364">
        <v>634</v>
      </c>
      <c r="F364">
        <v>421</v>
      </c>
      <c r="G364">
        <v>94</v>
      </c>
      <c r="H364">
        <v>2</v>
      </c>
      <c r="I364">
        <v>76.28</v>
      </c>
      <c r="J364">
        <v>0.14000000000000001</v>
      </c>
      <c r="K364">
        <v>800</v>
      </c>
      <c r="L364">
        <v>0.72</v>
      </c>
      <c r="M364">
        <v>6</v>
      </c>
      <c r="N364" s="1">
        <f t="shared" si="95"/>
        <v>14.033333333333333</v>
      </c>
      <c r="O364" s="1">
        <f>N364*(1+Control_Panel!$B$2)</f>
        <v>14.033333333333333</v>
      </c>
      <c r="P364" s="12">
        <f t="shared" si="96"/>
        <v>0.22327790973871733</v>
      </c>
      <c r="Q364" t="str" cm="1">
        <f t="array" ref="Q364">_xlfn.IFS(P364&lt;0.2,"Stable",P364&lt;=0.5,"Moderate",P364&gt;0.5,"Highly veriable")</f>
        <v>Moderate</v>
      </c>
      <c r="R364" s="1">
        <f t="shared" si="97"/>
        <v>132.93607486307096</v>
      </c>
      <c r="S364" s="1">
        <f t="shared" si="98"/>
        <v>148.96940819640429</v>
      </c>
      <c r="T364" s="1">
        <f t="shared" si="99"/>
        <v>485.03059180359571</v>
      </c>
      <c r="U364" t="str">
        <f t="shared" si="100"/>
        <v xml:space="preserve"> Safe</v>
      </c>
      <c r="V364">
        <f t="shared" si="101"/>
        <v>5052</v>
      </c>
      <c r="W364" s="9">
        <f t="shared" si="102"/>
        <v>385366.56</v>
      </c>
      <c r="Y364">
        <f t="shared" si="103"/>
        <v>8.6399259603844284E-4</v>
      </c>
      <c r="Z364" s="12">
        <f t="shared" si="113"/>
        <v>0.92547068033626789</v>
      </c>
      <c r="AA364" t="str">
        <f t="shared" si="104"/>
        <v>B</v>
      </c>
      <c r="AB364" t="str">
        <f t="shared" si="105"/>
        <v>Y</v>
      </c>
      <c r="AC364" t="str">
        <f t="shared" si="106"/>
        <v>BY</v>
      </c>
      <c r="AD364" t="str">
        <f t="shared" si="107"/>
        <v>Periodic Review</v>
      </c>
      <c r="AE364" t="str">
        <f t="shared" si="108"/>
        <v>Bi-Weekly</v>
      </c>
      <c r="AF364" t="str">
        <f t="shared" si="109"/>
        <v>Periodic Review</v>
      </c>
      <c r="AG364" t="str">
        <f t="shared" si="110"/>
        <v>Low</v>
      </c>
      <c r="AH364">
        <f t="shared" si="111"/>
        <v>40</v>
      </c>
      <c r="AI364" t="str">
        <f t="shared" si="112"/>
        <v>Low</v>
      </c>
    </row>
    <row r="365" spans="1:35">
      <c r="A365" t="s">
        <v>346</v>
      </c>
      <c r="B365" t="s">
        <v>18</v>
      </c>
      <c r="C365" t="s">
        <v>22</v>
      </c>
      <c r="D365" t="s">
        <v>25</v>
      </c>
      <c r="E365">
        <v>40</v>
      </c>
      <c r="F365">
        <v>111</v>
      </c>
      <c r="G365">
        <v>20</v>
      </c>
      <c r="H365">
        <v>26</v>
      </c>
      <c r="I365">
        <v>286.98</v>
      </c>
      <c r="J365">
        <v>0.18</v>
      </c>
      <c r="K365">
        <v>407</v>
      </c>
      <c r="L365">
        <v>0.98</v>
      </c>
      <c r="M365">
        <v>3</v>
      </c>
      <c r="N365" s="1">
        <f t="shared" si="95"/>
        <v>3.7</v>
      </c>
      <c r="O365" s="1">
        <f>N365*(1+Control_Panel!$B$2)</f>
        <v>3.7</v>
      </c>
      <c r="P365" s="12">
        <f t="shared" si="96"/>
        <v>0.18018018018018017</v>
      </c>
      <c r="Q365" t="str" cm="1">
        <f t="array" ref="Q365">_xlfn.IFS(P365&lt;0.2,"Stable",P365&lt;=0.5,"Moderate",P365&gt;0.5,"Highly veriable")</f>
        <v>Stable</v>
      </c>
      <c r="R365" s="1">
        <f t="shared" si="97"/>
        <v>101.9803902718557</v>
      </c>
      <c r="S365" s="1">
        <f t="shared" si="98"/>
        <v>131.68039027185569</v>
      </c>
      <c r="T365" s="1">
        <f t="shared" si="99"/>
        <v>-91.680390271855686</v>
      </c>
      <c r="U365" t="str">
        <f t="shared" si="100"/>
        <v xml:space="preserve"> Need to Order</v>
      </c>
      <c r="V365">
        <f t="shared" si="101"/>
        <v>1332</v>
      </c>
      <c r="W365" s="9">
        <f t="shared" si="102"/>
        <v>382257.36000000004</v>
      </c>
      <c r="Y365">
        <f t="shared" si="103"/>
        <v>8.5702176343791132E-4</v>
      </c>
      <c r="Z365" s="12">
        <f t="shared" si="113"/>
        <v>0.92632770209970583</v>
      </c>
      <c r="AA365" t="str">
        <f t="shared" si="104"/>
        <v>B</v>
      </c>
      <c r="AB365" t="str">
        <f t="shared" si="105"/>
        <v>X</v>
      </c>
      <c r="AC365" t="str">
        <f t="shared" si="106"/>
        <v>BX</v>
      </c>
      <c r="AD365" t="str">
        <f t="shared" si="107"/>
        <v>Standard Control</v>
      </c>
      <c r="AE365" t="str">
        <f t="shared" si="108"/>
        <v>Weekly</v>
      </c>
      <c r="AF365" t="str">
        <f t="shared" si="109"/>
        <v>Standard Replenishment</v>
      </c>
      <c r="AG365" t="str">
        <f t="shared" si="110"/>
        <v>Low</v>
      </c>
      <c r="AH365">
        <f t="shared" si="111"/>
        <v>30</v>
      </c>
      <c r="AI365" t="str">
        <f t="shared" si="112"/>
        <v>Low</v>
      </c>
    </row>
    <row r="366" spans="1:35">
      <c r="A366" t="s">
        <v>82</v>
      </c>
      <c r="B366" t="s">
        <v>29</v>
      </c>
      <c r="C366" t="s">
        <v>15</v>
      </c>
      <c r="D366" t="s">
        <v>41</v>
      </c>
      <c r="E366">
        <v>11</v>
      </c>
      <c r="F366">
        <v>203</v>
      </c>
      <c r="G366">
        <v>72</v>
      </c>
      <c r="H366">
        <v>30</v>
      </c>
      <c r="I366">
        <v>156.33000000000001</v>
      </c>
      <c r="J366">
        <v>0.08</v>
      </c>
      <c r="K366">
        <v>518</v>
      </c>
      <c r="L366">
        <v>0.99</v>
      </c>
      <c r="M366">
        <v>10</v>
      </c>
      <c r="N366" s="1">
        <f t="shared" si="95"/>
        <v>6.7666666666666666</v>
      </c>
      <c r="O366" s="1">
        <f>N366*(1+Control_Panel!$B$2)</f>
        <v>6.7666666666666666</v>
      </c>
      <c r="P366" s="12">
        <f t="shared" si="96"/>
        <v>0.35467980295566504</v>
      </c>
      <c r="Q366" t="str" cm="1">
        <f t="array" ref="Q366">_xlfn.IFS(P366&lt;0.2,"Stable",P366&lt;=0.5,"Moderate",P366&gt;0.5,"Highly veriable")</f>
        <v>Moderate</v>
      </c>
      <c r="R366" s="1">
        <f t="shared" si="97"/>
        <v>394.36024140371961</v>
      </c>
      <c r="S366" s="1">
        <f t="shared" si="98"/>
        <v>431.12690807038626</v>
      </c>
      <c r="T366" s="1">
        <f t="shared" si="99"/>
        <v>-420.12690807038626</v>
      </c>
      <c r="U366" t="str">
        <f t="shared" si="100"/>
        <v xml:space="preserve"> Need to Order</v>
      </c>
      <c r="V366">
        <f t="shared" si="101"/>
        <v>2436</v>
      </c>
      <c r="W366" s="9">
        <f t="shared" si="102"/>
        <v>380819.88</v>
      </c>
      <c r="Y366">
        <f t="shared" si="103"/>
        <v>8.5379893041121239E-4</v>
      </c>
      <c r="Z366" s="12">
        <f t="shared" si="113"/>
        <v>0.92718150103011709</v>
      </c>
      <c r="AA366" t="str">
        <f t="shared" si="104"/>
        <v>B</v>
      </c>
      <c r="AB366" t="str">
        <f t="shared" si="105"/>
        <v>Y</v>
      </c>
      <c r="AC366" t="str">
        <f t="shared" si="106"/>
        <v>BY</v>
      </c>
      <c r="AD366" t="str">
        <f t="shared" si="107"/>
        <v>Periodic Review</v>
      </c>
      <c r="AE366" t="str">
        <f t="shared" si="108"/>
        <v>Bi-Weekly</v>
      </c>
      <c r="AF366" t="str">
        <f t="shared" si="109"/>
        <v>Periodic Review</v>
      </c>
      <c r="AG366" t="str">
        <f t="shared" si="110"/>
        <v>Low</v>
      </c>
      <c r="AH366">
        <f t="shared" si="111"/>
        <v>50</v>
      </c>
      <c r="AI366" t="str">
        <f t="shared" si="112"/>
        <v>Medium</v>
      </c>
    </row>
    <row r="367" spans="1:35">
      <c r="A367" t="s">
        <v>342</v>
      </c>
      <c r="B367" t="s">
        <v>29</v>
      </c>
      <c r="C367" t="s">
        <v>22</v>
      </c>
      <c r="D367" t="s">
        <v>19</v>
      </c>
      <c r="E367">
        <v>382</v>
      </c>
      <c r="F367">
        <v>70</v>
      </c>
      <c r="G367">
        <v>68</v>
      </c>
      <c r="H367">
        <v>23</v>
      </c>
      <c r="I367">
        <v>446.2</v>
      </c>
      <c r="J367">
        <v>0.18</v>
      </c>
      <c r="K367">
        <v>532</v>
      </c>
      <c r="L367">
        <v>0.86</v>
      </c>
      <c r="M367">
        <v>7</v>
      </c>
      <c r="N367" s="1">
        <f t="shared" si="95"/>
        <v>2.3333333333333335</v>
      </c>
      <c r="O367" s="1">
        <f>N367*(1+Control_Panel!$B$2)</f>
        <v>2.3333333333333335</v>
      </c>
      <c r="P367" s="12">
        <f t="shared" si="96"/>
        <v>0.97142857142857142</v>
      </c>
      <c r="Q367" t="str" cm="1">
        <f t="array" ref="Q367">_xlfn.IFS(P367&lt;0.2,"Stable",P367&lt;=0.5,"Moderate",P367&gt;0.5,"Highly veriable")</f>
        <v>Highly veriable</v>
      </c>
      <c r="R367" s="1">
        <f t="shared" si="97"/>
        <v>326.11654358526488</v>
      </c>
      <c r="S367" s="1">
        <f t="shared" si="98"/>
        <v>351.44987691859819</v>
      </c>
      <c r="T367" s="1">
        <f t="shared" si="99"/>
        <v>30.550123081401807</v>
      </c>
      <c r="U367" t="str">
        <f t="shared" si="100"/>
        <v xml:space="preserve"> Risk</v>
      </c>
      <c r="V367">
        <f t="shared" si="101"/>
        <v>840</v>
      </c>
      <c r="W367" s="9">
        <f t="shared" si="102"/>
        <v>374808</v>
      </c>
      <c r="Y367">
        <f t="shared" si="103"/>
        <v>8.4032028346200222E-4</v>
      </c>
      <c r="Z367" s="12">
        <f t="shared" si="113"/>
        <v>0.92802182131357913</v>
      </c>
      <c r="AA367" t="str">
        <f t="shared" si="104"/>
        <v>B</v>
      </c>
      <c r="AB367" t="str">
        <f t="shared" si="105"/>
        <v>Z</v>
      </c>
      <c r="AC367" t="str">
        <f t="shared" si="106"/>
        <v>BZ</v>
      </c>
      <c r="AD367" t="str">
        <f t="shared" si="107"/>
        <v>Risk Monitoring</v>
      </c>
      <c r="AE367" t="str">
        <f t="shared" si="108"/>
        <v>Weekly Risk Review</v>
      </c>
      <c r="AF367" t="str">
        <f t="shared" si="109"/>
        <v>Monitor Demand Variability</v>
      </c>
      <c r="AG367" t="str">
        <f t="shared" si="110"/>
        <v>Medium</v>
      </c>
      <c r="AH367">
        <f t="shared" si="111"/>
        <v>40</v>
      </c>
      <c r="AI367" t="str">
        <f t="shared" si="112"/>
        <v>Low</v>
      </c>
    </row>
    <row r="368" spans="1:35">
      <c r="A368" t="s">
        <v>469</v>
      </c>
      <c r="B368" t="s">
        <v>29</v>
      </c>
      <c r="C368" t="s">
        <v>22</v>
      </c>
      <c r="D368" t="s">
        <v>19</v>
      </c>
      <c r="E368">
        <v>382</v>
      </c>
      <c r="F368">
        <v>255</v>
      </c>
      <c r="G368">
        <v>71</v>
      </c>
      <c r="H368">
        <v>27</v>
      </c>
      <c r="I368">
        <v>122.48</v>
      </c>
      <c r="J368">
        <v>0.06</v>
      </c>
      <c r="K368">
        <v>593</v>
      </c>
      <c r="L368">
        <v>0.78</v>
      </c>
      <c r="M368">
        <v>7</v>
      </c>
      <c r="N368" s="1">
        <f t="shared" si="95"/>
        <v>8.5</v>
      </c>
      <c r="O368" s="1">
        <f>N368*(1+Control_Panel!$B$2)</f>
        <v>8.5</v>
      </c>
      <c r="P368" s="12">
        <f t="shared" si="96"/>
        <v>0.27843137254901962</v>
      </c>
      <c r="Q368" t="str" cm="1">
        <f t="array" ref="Q368">_xlfn.IFS(P368&lt;0.2,"Stable",P368&lt;=0.5,"Moderate",P368&gt;0.5,"Highly veriable")</f>
        <v>Moderate</v>
      </c>
      <c r="R368" s="1">
        <f t="shared" si="97"/>
        <v>368.92682201217087</v>
      </c>
      <c r="S368" s="1">
        <f t="shared" si="98"/>
        <v>404.42682201217087</v>
      </c>
      <c r="T368" s="1">
        <f t="shared" si="99"/>
        <v>-22.426822012170874</v>
      </c>
      <c r="U368" t="str">
        <f t="shared" si="100"/>
        <v xml:space="preserve"> Need to Order</v>
      </c>
      <c r="V368">
        <f t="shared" si="101"/>
        <v>3060</v>
      </c>
      <c r="W368" s="9">
        <f t="shared" si="102"/>
        <v>374788.8</v>
      </c>
      <c r="Y368">
        <f t="shared" si="103"/>
        <v>8.4027723702371257E-4</v>
      </c>
      <c r="Z368" s="12">
        <f t="shared" si="113"/>
        <v>0.92886209855060287</v>
      </c>
      <c r="AA368" t="str">
        <f t="shared" si="104"/>
        <v>B</v>
      </c>
      <c r="AB368" t="str">
        <f t="shared" si="105"/>
        <v>Y</v>
      </c>
      <c r="AC368" t="str">
        <f t="shared" si="106"/>
        <v>BY</v>
      </c>
      <c r="AD368" t="str">
        <f t="shared" si="107"/>
        <v>Periodic Review</v>
      </c>
      <c r="AE368" t="str">
        <f t="shared" si="108"/>
        <v>Bi-Weekly</v>
      </c>
      <c r="AF368" t="str">
        <f t="shared" si="109"/>
        <v>Periodic Review</v>
      </c>
      <c r="AG368" t="str">
        <f t="shared" si="110"/>
        <v>Low</v>
      </c>
      <c r="AH368">
        <f t="shared" si="111"/>
        <v>40</v>
      </c>
      <c r="AI368" t="str">
        <f t="shared" si="112"/>
        <v>Low</v>
      </c>
    </row>
    <row r="369" spans="1:35">
      <c r="A369" t="s">
        <v>241</v>
      </c>
      <c r="B369" t="s">
        <v>21</v>
      </c>
      <c r="C369" t="s">
        <v>15</v>
      </c>
      <c r="D369" t="s">
        <v>19</v>
      </c>
      <c r="E369">
        <v>61</v>
      </c>
      <c r="F369">
        <v>66</v>
      </c>
      <c r="G369">
        <v>16</v>
      </c>
      <c r="H369">
        <v>2</v>
      </c>
      <c r="I369">
        <v>472.71</v>
      </c>
      <c r="J369">
        <v>0.15</v>
      </c>
      <c r="K369">
        <v>793</v>
      </c>
      <c r="L369">
        <v>0.79</v>
      </c>
      <c r="M369">
        <v>4</v>
      </c>
      <c r="N369" s="1">
        <f t="shared" si="95"/>
        <v>2.2000000000000002</v>
      </c>
      <c r="O369" s="1">
        <f>N369*(1+Control_Panel!$B$2)</f>
        <v>2.2000000000000002</v>
      </c>
      <c r="P369" s="12">
        <f t="shared" si="96"/>
        <v>0.24242424242424243</v>
      </c>
      <c r="Q369" t="str" cm="1">
        <f t="array" ref="Q369">_xlfn.IFS(P369&lt;0.2,"Stable",P369&lt;=0.5,"Moderate",P369&gt;0.5,"Highly veriable")</f>
        <v>Moderate</v>
      </c>
      <c r="R369" s="1">
        <f t="shared" si="97"/>
        <v>22.627416997969522</v>
      </c>
      <c r="S369" s="1">
        <f t="shared" si="98"/>
        <v>26.827416997969522</v>
      </c>
      <c r="T369" s="1">
        <f t="shared" si="99"/>
        <v>34.172583002030478</v>
      </c>
      <c r="U369" t="str">
        <f t="shared" si="100"/>
        <v xml:space="preserve"> Safe</v>
      </c>
      <c r="V369">
        <f t="shared" si="101"/>
        <v>792</v>
      </c>
      <c r="W369" s="9">
        <f t="shared" si="102"/>
        <v>374386.32</v>
      </c>
      <c r="Y369">
        <f t="shared" si="103"/>
        <v>8.3937487606106564E-4</v>
      </c>
      <c r="Z369" s="12">
        <f t="shared" si="113"/>
        <v>0.92970147342666398</v>
      </c>
      <c r="AA369" t="str">
        <f t="shared" si="104"/>
        <v>B</v>
      </c>
      <c r="AB369" t="str">
        <f t="shared" si="105"/>
        <v>Y</v>
      </c>
      <c r="AC369" t="str">
        <f t="shared" si="106"/>
        <v>BY</v>
      </c>
      <c r="AD369" t="str">
        <f t="shared" si="107"/>
        <v>Periodic Review</v>
      </c>
      <c r="AE369" t="str">
        <f t="shared" si="108"/>
        <v>Bi-Weekly</v>
      </c>
      <c r="AF369" t="str">
        <f t="shared" si="109"/>
        <v>Periodic Review</v>
      </c>
      <c r="AG369" t="str">
        <f t="shared" si="110"/>
        <v>Low</v>
      </c>
      <c r="AH369">
        <f t="shared" si="111"/>
        <v>30</v>
      </c>
      <c r="AI369" t="str">
        <f t="shared" si="112"/>
        <v>Low</v>
      </c>
    </row>
    <row r="370" spans="1:35">
      <c r="A370" t="s">
        <v>355</v>
      </c>
      <c r="B370" t="s">
        <v>36</v>
      </c>
      <c r="C370" t="s">
        <v>15</v>
      </c>
      <c r="D370" t="s">
        <v>23</v>
      </c>
      <c r="E370">
        <v>683</v>
      </c>
      <c r="F370">
        <v>246</v>
      </c>
      <c r="G370">
        <v>95</v>
      </c>
      <c r="H370">
        <v>11</v>
      </c>
      <c r="I370">
        <v>126.3</v>
      </c>
      <c r="J370">
        <v>0.12</v>
      </c>
      <c r="K370">
        <v>446</v>
      </c>
      <c r="L370">
        <v>0.93</v>
      </c>
      <c r="M370">
        <v>3</v>
      </c>
      <c r="N370" s="1">
        <f t="shared" si="95"/>
        <v>8.1999999999999993</v>
      </c>
      <c r="O370" s="1">
        <f>N370*(1+Control_Panel!$B$2)</f>
        <v>8.1999999999999993</v>
      </c>
      <c r="P370" s="12">
        <f t="shared" si="96"/>
        <v>0.38617886178861788</v>
      </c>
      <c r="Q370" t="str" cm="1">
        <f t="array" ref="Q370">_xlfn.IFS(P370&lt;0.2,"Stable",P370&lt;=0.5,"Moderate",P370&gt;0.5,"Highly veriable")</f>
        <v>Moderate</v>
      </c>
      <c r="R370" s="1">
        <f t="shared" si="97"/>
        <v>315.07935508376301</v>
      </c>
      <c r="S370" s="1">
        <f t="shared" si="98"/>
        <v>334.27935508376299</v>
      </c>
      <c r="T370" s="1">
        <f t="shared" si="99"/>
        <v>348.72064491623701</v>
      </c>
      <c r="U370" t="str">
        <f t="shared" si="100"/>
        <v xml:space="preserve"> Safe</v>
      </c>
      <c r="V370">
        <f t="shared" si="101"/>
        <v>2952</v>
      </c>
      <c r="W370" s="9">
        <f t="shared" si="102"/>
        <v>372837.6</v>
      </c>
      <c r="Y370">
        <f t="shared" si="103"/>
        <v>8.3590264273252597E-4</v>
      </c>
      <c r="Z370" s="12">
        <f t="shared" si="113"/>
        <v>0.93053737606939646</v>
      </c>
      <c r="AA370" t="str">
        <f t="shared" si="104"/>
        <v>B</v>
      </c>
      <c r="AB370" t="str">
        <f t="shared" si="105"/>
        <v>Y</v>
      </c>
      <c r="AC370" t="str">
        <f t="shared" si="106"/>
        <v>BY</v>
      </c>
      <c r="AD370" t="str">
        <f t="shared" si="107"/>
        <v>Periodic Review</v>
      </c>
      <c r="AE370" t="str">
        <f t="shared" si="108"/>
        <v>Bi-Weekly</v>
      </c>
      <c r="AF370" t="str">
        <f t="shared" si="109"/>
        <v>Periodic Review</v>
      </c>
      <c r="AG370" t="str">
        <f t="shared" si="110"/>
        <v>Low</v>
      </c>
      <c r="AH370">
        <f t="shared" si="111"/>
        <v>30</v>
      </c>
      <c r="AI370" t="str">
        <f t="shared" si="112"/>
        <v>Low</v>
      </c>
    </row>
    <row r="371" spans="1:35">
      <c r="A371" t="s">
        <v>224</v>
      </c>
      <c r="B371" t="s">
        <v>38</v>
      </c>
      <c r="C371" t="s">
        <v>22</v>
      </c>
      <c r="D371" t="s">
        <v>41</v>
      </c>
      <c r="E371">
        <v>896</v>
      </c>
      <c r="F371">
        <v>102</v>
      </c>
      <c r="G371">
        <v>35</v>
      </c>
      <c r="H371">
        <v>8</v>
      </c>
      <c r="I371">
        <v>302.32</v>
      </c>
      <c r="J371">
        <v>0.11</v>
      </c>
      <c r="K371">
        <v>283</v>
      </c>
      <c r="L371">
        <v>0.92</v>
      </c>
      <c r="M371">
        <v>4</v>
      </c>
      <c r="N371" s="1">
        <f t="shared" si="95"/>
        <v>3.4</v>
      </c>
      <c r="O371" s="1">
        <f>N371*(1+Control_Panel!$B$2)</f>
        <v>3.4</v>
      </c>
      <c r="P371" s="12">
        <f t="shared" si="96"/>
        <v>0.34313725490196079</v>
      </c>
      <c r="Q371" t="str" cm="1">
        <f t="array" ref="Q371">_xlfn.IFS(P371&lt;0.2,"Stable",P371&lt;=0.5,"Moderate",P371&gt;0.5,"Highly veriable")</f>
        <v>Moderate</v>
      </c>
      <c r="R371" s="1">
        <f t="shared" si="97"/>
        <v>98.994949366116657</v>
      </c>
      <c r="S371" s="1">
        <f t="shared" si="98"/>
        <v>110.39494936611666</v>
      </c>
      <c r="T371" s="1">
        <f t="shared" si="99"/>
        <v>785.60505063388337</v>
      </c>
      <c r="U371" t="str">
        <f t="shared" si="100"/>
        <v xml:space="preserve"> Safe</v>
      </c>
      <c r="V371">
        <f t="shared" si="101"/>
        <v>1224</v>
      </c>
      <c r="W371" s="9">
        <f t="shared" si="102"/>
        <v>370039.68</v>
      </c>
      <c r="Y371">
        <f t="shared" si="103"/>
        <v>8.2962970051276544E-4</v>
      </c>
      <c r="Z371" s="12">
        <f t="shared" si="113"/>
        <v>0.93136700576990927</v>
      </c>
      <c r="AA371" t="str">
        <f t="shared" si="104"/>
        <v>B</v>
      </c>
      <c r="AB371" t="str">
        <f t="shared" si="105"/>
        <v>Y</v>
      </c>
      <c r="AC371" t="str">
        <f t="shared" si="106"/>
        <v>BY</v>
      </c>
      <c r="AD371" t="str">
        <f t="shared" si="107"/>
        <v>Periodic Review</v>
      </c>
      <c r="AE371" t="str">
        <f t="shared" si="108"/>
        <v>Bi-Weekly</v>
      </c>
      <c r="AF371" t="str">
        <f t="shared" si="109"/>
        <v>Periodic Review</v>
      </c>
      <c r="AG371" t="str">
        <f t="shared" si="110"/>
        <v>Low</v>
      </c>
      <c r="AH371">
        <f t="shared" si="111"/>
        <v>30</v>
      </c>
      <c r="AI371" t="str">
        <f t="shared" si="112"/>
        <v>Low</v>
      </c>
    </row>
    <row r="372" spans="1:35">
      <c r="A372" t="s">
        <v>433</v>
      </c>
      <c r="B372" t="s">
        <v>38</v>
      </c>
      <c r="C372" t="s">
        <v>15</v>
      </c>
      <c r="D372" t="s">
        <v>41</v>
      </c>
      <c r="E372">
        <v>93</v>
      </c>
      <c r="F372">
        <v>104</v>
      </c>
      <c r="G372">
        <v>61</v>
      </c>
      <c r="H372">
        <v>16</v>
      </c>
      <c r="I372">
        <v>291.08</v>
      </c>
      <c r="J372">
        <v>7.0000000000000007E-2</v>
      </c>
      <c r="K372">
        <v>216</v>
      </c>
      <c r="L372">
        <v>0.98</v>
      </c>
      <c r="M372">
        <v>5</v>
      </c>
      <c r="N372" s="1">
        <f t="shared" si="95"/>
        <v>3.4666666666666668</v>
      </c>
      <c r="O372" s="1">
        <f>N372*(1+Control_Panel!$B$2)</f>
        <v>3.4666666666666668</v>
      </c>
      <c r="P372" s="12">
        <f t="shared" si="96"/>
        <v>0.58653846153846156</v>
      </c>
      <c r="Q372" t="str" cm="1">
        <f t="array" ref="Q372">_xlfn.IFS(P372&lt;0.2,"Stable",P372&lt;=0.5,"Moderate",P372&gt;0.5,"Highly veriable")</f>
        <v>Highly veriable</v>
      </c>
      <c r="R372" s="1">
        <f t="shared" si="97"/>
        <v>244</v>
      </c>
      <c r="S372" s="1">
        <f t="shared" si="98"/>
        <v>263.4666666666667</v>
      </c>
      <c r="T372" s="1">
        <f t="shared" si="99"/>
        <v>-170.4666666666667</v>
      </c>
      <c r="U372" t="str">
        <f t="shared" si="100"/>
        <v xml:space="preserve"> Need to Order</v>
      </c>
      <c r="V372">
        <f t="shared" si="101"/>
        <v>1248</v>
      </c>
      <c r="W372" s="9">
        <f t="shared" si="102"/>
        <v>363267.83999999997</v>
      </c>
      <c r="Y372">
        <f t="shared" si="103"/>
        <v>8.1444722172800276E-4</v>
      </c>
      <c r="Z372" s="12">
        <f t="shared" si="113"/>
        <v>0.93218145299163724</v>
      </c>
      <c r="AA372" t="str">
        <f t="shared" si="104"/>
        <v>B</v>
      </c>
      <c r="AB372" t="str">
        <f t="shared" si="105"/>
        <v>Z</v>
      </c>
      <c r="AC372" t="str">
        <f t="shared" si="106"/>
        <v>BZ</v>
      </c>
      <c r="AD372" t="str">
        <f t="shared" si="107"/>
        <v>Risk Monitoring</v>
      </c>
      <c r="AE372" t="str">
        <f t="shared" si="108"/>
        <v>Weekly Risk Review</v>
      </c>
      <c r="AF372" t="str">
        <f t="shared" si="109"/>
        <v>Monitor Demand Variability</v>
      </c>
      <c r="AG372" t="str">
        <f t="shared" si="110"/>
        <v>Medium</v>
      </c>
      <c r="AH372">
        <f t="shared" si="111"/>
        <v>40</v>
      </c>
      <c r="AI372" t="str">
        <f t="shared" si="112"/>
        <v>Low</v>
      </c>
    </row>
    <row r="373" spans="1:35">
      <c r="A373" t="s">
        <v>514</v>
      </c>
      <c r="B373" t="s">
        <v>36</v>
      </c>
      <c r="C373" t="s">
        <v>22</v>
      </c>
      <c r="D373" t="s">
        <v>19</v>
      </c>
      <c r="E373">
        <v>636</v>
      </c>
      <c r="F373">
        <v>445</v>
      </c>
      <c r="G373">
        <v>87</v>
      </c>
      <c r="H373">
        <v>11</v>
      </c>
      <c r="I373">
        <v>67.900000000000006</v>
      </c>
      <c r="J373">
        <v>0.08</v>
      </c>
      <c r="K373">
        <v>173</v>
      </c>
      <c r="L373">
        <v>0.76</v>
      </c>
      <c r="M373">
        <v>7</v>
      </c>
      <c r="N373" s="1">
        <f t="shared" si="95"/>
        <v>14.833333333333334</v>
      </c>
      <c r="O373" s="1">
        <f>N373*(1+Control_Panel!$B$2)</f>
        <v>14.833333333333334</v>
      </c>
      <c r="P373" s="12">
        <f t="shared" si="96"/>
        <v>0.19550561797752808</v>
      </c>
      <c r="Q373" t="str" cm="1">
        <f t="array" ref="Q373">_xlfn.IFS(P373&lt;0.2,"Stable",P373&lt;=0.5,"Moderate",P373&gt;0.5,"Highly veriable")</f>
        <v>Stable</v>
      </c>
      <c r="R373" s="1">
        <f t="shared" si="97"/>
        <v>288.54635676091976</v>
      </c>
      <c r="S373" s="1">
        <f t="shared" si="98"/>
        <v>314.37969009425308</v>
      </c>
      <c r="T373" s="1">
        <f t="shared" si="99"/>
        <v>321.62030990574692</v>
      </c>
      <c r="U373" t="str">
        <f t="shared" si="100"/>
        <v xml:space="preserve"> Safe</v>
      </c>
      <c r="V373">
        <f t="shared" si="101"/>
        <v>5340</v>
      </c>
      <c r="W373" s="9">
        <f t="shared" si="102"/>
        <v>362586.00000000006</v>
      </c>
      <c r="Y373">
        <f t="shared" si="103"/>
        <v>8.1291853508824144E-4</v>
      </c>
      <c r="Z373" s="12">
        <f t="shared" si="113"/>
        <v>0.93299437152672549</v>
      </c>
      <c r="AA373" t="str">
        <f t="shared" si="104"/>
        <v>B</v>
      </c>
      <c r="AB373" t="str">
        <f t="shared" si="105"/>
        <v>X</v>
      </c>
      <c r="AC373" t="str">
        <f t="shared" si="106"/>
        <v>BX</v>
      </c>
      <c r="AD373" t="str">
        <f t="shared" si="107"/>
        <v>Standard Control</v>
      </c>
      <c r="AE373" t="str">
        <f t="shared" si="108"/>
        <v>Weekly</v>
      </c>
      <c r="AF373" t="str">
        <f t="shared" si="109"/>
        <v>Standard Replenishment</v>
      </c>
      <c r="AG373" t="str">
        <f t="shared" si="110"/>
        <v>Low</v>
      </c>
      <c r="AH373">
        <f t="shared" si="111"/>
        <v>40</v>
      </c>
      <c r="AI373" t="str">
        <f t="shared" si="112"/>
        <v>Low</v>
      </c>
    </row>
    <row r="374" spans="1:35">
      <c r="A374" t="s">
        <v>156</v>
      </c>
      <c r="B374" t="s">
        <v>40</v>
      </c>
      <c r="C374" t="s">
        <v>22</v>
      </c>
      <c r="D374" t="s">
        <v>16</v>
      </c>
      <c r="E374">
        <v>390</v>
      </c>
      <c r="F374">
        <v>183</v>
      </c>
      <c r="G374">
        <v>65</v>
      </c>
      <c r="H374">
        <v>3</v>
      </c>
      <c r="I374">
        <v>163.05000000000001</v>
      </c>
      <c r="J374">
        <v>0.1</v>
      </c>
      <c r="K374">
        <v>964</v>
      </c>
      <c r="L374">
        <v>0.76</v>
      </c>
      <c r="M374">
        <v>3</v>
      </c>
      <c r="N374" s="1">
        <f t="shared" si="95"/>
        <v>6.1</v>
      </c>
      <c r="O374" s="1">
        <f>N374*(1+Control_Panel!$B$2)</f>
        <v>6.1</v>
      </c>
      <c r="P374" s="12">
        <f t="shared" si="96"/>
        <v>0.3551912568306011</v>
      </c>
      <c r="Q374" t="str" cm="1">
        <f t="array" ref="Q374">_xlfn.IFS(P374&lt;0.2,"Stable",P374&lt;=0.5,"Moderate",P374&gt;0.5,"Highly veriable")</f>
        <v>Moderate</v>
      </c>
      <c r="R374" s="1">
        <f t="shared" si="97"/>
        <v>112.58330249197702</v>
      </c>
      <c r="S374" s="1">
        <f t="shared" si="98"/>
        <v>121.68330249197702</v>
      </c>
      <c r="T374" s="1">
        <f t="shared" si="99"/>
        <v>268.31669750802297</v>
      </c>
      <c r="U374" t="str">
        <f t="shared" si="100"/>
        <v xml:space="preserve"> Safe</v>
      </c>
      <c r="V374">
        <f t="shared" si="101"/>
        <v>2196</v>
      </c>
      <c r="W374" s="9">
        <f t="shared" si="102"/>
        <v>358057.80000000005</v>
      </c>
      <c r="Y374">
        <f t="shared" si="103"/>
        <v>8.0276630165786471E-4</v>
      </c>
      <c r="Z374" s="12">
        <f t="shared" si="113"/>
        <v>0.93379713782838336</v>
      </c>
      <c r="AA374" t="str">
        <f t="shared" si="104"/>
        <v>B</v>
      </c>
      <c r="AB374" t="str">
        <f t="shared" si="105"/>
        <v>Y</v>
      </c>
      <c r="AC374" t="str">
        <f t="shared" si="106"/>
        <v>BY</v>
      </c>
      <c r="AD374" t="str">
        <f t="shared" si="107"/>
        <v>Periodic Review</v>
      </c>
      <c r="AE374" t="str">
        <f t="shared" si="108"/>
        <v>Bi-Weekly</v>
      </c>
      <c r="AF374" t="str">
        <f t="shared" si="109"/>
        <v>Periodic Review</v>
      </c>
      <c r="AG374" t="str">
        <f t="shared" si="110"/>
        <v>Low</v>
      </c>
      <c r="AH374">
        <f t="shared" si="111"/>
        <v>30</v>
      </c>
      <c r="AI374" t="str">
        <f t="shared" si="112"/>
        <v>Low</v>
      </c>
    </row>
    <row r="375" spans="1:35">
      <c r="A375" t="s">
        <v>434</v>
      </c>
      <c r="B375" t="s">
        <v>36</v>
      </c>
      <c r="C375" t="s">
        <v>15</v>
      </c>
      <c r="D375" t="s">
        <v>25</v>
      </c>
      <c r="E375">
        <v>443</v>
      </c>
      <c r="F375">
        <v>371</v>
      </c>
      <c r="G375">
        <v>49</v>
      </c>
      <c r="H375">
        <v>6</v>
      </c>
      <c r="I375">
        <v>80.099999999999994</v>
      </c>
      <c r="J375">
        <v>0.15</v>
      </c>
      <c r="K375">
        <v>334</v>
      </c>
      <c r="L375">
        <v>0.75</v>
      </c>
      <c r="M375">
        <v>9</v>
      </c>
      <c r="N375" s="1">
        <f t="shared" si="95"/>
        <v>12.366666666666667</v>
      </c>
      <c r="O375" s="1">
        <f>N375*(1+Control_Panel!$B$2)</f>
        <v>12.366666666666667</v>
      </c>
      <c r="P375" s="12">
        <f t="shared" si="96"/>
        <v>0.13207547169811321</v>
      </c>
      <c r="Q375" t="str" cm="1">
        <f t="array" ref="Q375">_xlfn.IFS(P375&lt;0.2,"Stable",P375&lt;=0.5,"Moderate",P375&gt;0.5,"Highly veriable")</f>
        <v>Stable</v>
      </c>
      <c r="R375" s="1">
        <f t="shared" si="97"/>
        <v>120.02499739637571</v>
      </c>
      <c r="S375" s="1">
        <f t="shared" si="98"/>
        <v>138.39166406304238</v>
      </c>
      <c r="T375" s="1">
        <f t="shared" si="99"/>
        <v>304.60833593695759</v>
      </c>
      <c r="U375" t="str">
        <f t="shared" si="100"/>
        <v xml:space="preserve"> Safe</v>
      </c>
      <c r="V375">
        <f t="shared" si="101"/>
        <v>4452</v>
      </c>
      <c r="W375" s="9">
        <f t="shared" si="102"/>
        <v>356605.19999999995</v>
      </c>
      <c r="Y375">
        <f t="shared" si="103"/>
        <v>7.9950956956101251E-4</v>
      </c>
      <c r="Z375" s="12">
        <f t="shared" si="113"/>
        <v>0.93459664739794435</v>
      </c>
      <c r="AA375" t="str">
        <f t="shared" si="104"/>
        <v>B</v>
      </c>
      <c r="AB375" t="str">
        <f t="shared" si="105"/>
        <v>X</v>
      </c>
      <c r="AC375" t="str">
        <f t="shared" si="106"/>
        <v>BX</v>
      </c>
      <c r="AD375" t="str">
        <f t="shared" si="107"/>
        <v>Standard Control</v>
      </c>
      <c r="AE375" t="str">
        <f t="shared" si="108"/>
        <v>Weekly</v>
      </c>
      <c r="AF375" t="str">
        <f t="shared" si="109"/>
        <v>Standard Replenishment</v>
      </c>
      <c r="AG375" t="str">
        <f t="shared" si="110"/>
        <v>Low</v>
      </c>
      <c r="AH375">
        <f t="shared" si="111"/>
        <v>50</v>
      </c>
      <c r="AI375" t="str">
        <f t="shared" si="112"/>
        <v>Medium</v>
      </c>
    </row>
    <row r="376" spans="1:35">
      <c r="A376" t="s">
        <v>269</v>
      </c>
      <c r="B376" t="s">
        <v>40</v>
      </c>
      <c r="C376" t="s">
        <v>15</v>
      </c>
      <c r="D376" t="s">
        <v>19</v>
      </c>
      <c r="E376">
        <v>463</v>
      </c>
      <c r="F376">
        <v>233</v>
      </c>
      <c r="G376">
        <v>87</v>
      </c>
      <c r="H376">
        <v>12</v>
      </c>
      <c r="I376">
        <v>126.43</v>
      </c>
      <c r="J376">
        <v>0.23</v>
      </c>
      <c r="K376">
        <v>769</v>
      </c>
      <c r="L376">
        <v>0.78</v>
      </c>
      <c r="M376">
        <v>1</v>
      </c>
      <c r="N376" s="1">
        <f t="shared" si="95"/>
        <v>7.7666666666666666</v>
      </c>
      <c r="O376" s="1">
        <f>N376*(1+Control_Panel!$B$2)</f>
        <v>7.7666666666666666</v>
      </c>
      <c r="P376" s="12">
        <f t="shared" si="96"/>
        <v>0.37339055793991416</v>
      </c>
      <c r="Q376" t="str" cm="1">
        <f t="array" ref="Q376">_xlfn.IFS(P376&lt;0.2,"Stable",P376&lt;=0.5,"Moderate",P376&gt;0.5,"Highly veriable")</f>
        <v>Moderate</v>
      </c>
      <c r="R376" s="1">
        <f t="shared" si="97"/>
        <v>301.37684051698466</v>
      </c>
      <c r="S376" s="1">
        <f t="shared" si="98"/>
        <v>321.14350718365131</v>
      </c>
      <c r="T376" s="1">
        <f t="shared" si="99"/>
        <v>141.85649281634869</v>
      </c>
      <c r="U376" t="str">
        <f t="shared" si="100"/>
        <v xml:space="preserve"> Risk</v>
      </c>
      <c r="V376">
        <f t="shared" si="101"/>
        <v>2796</v>
      </c>
      <c r="W376" s="9">
        <f t="shared" si="102"/>
        <v>353498.28</v>
      </c>
      <c r="Y376">
        <f t="shared" si="103"/>
        <v>7.9254384872502791E-4</v>
      </c>
      <c r="Z376" s="12">
        <f t="shared" si="113"/>
        <v>0.93538919124666942</v>
      </c>
      <c r="AA376" t="str">
        <f t="shared" si="104"/>
        <v>B</v>
      </c>
      <c r="AB376" t="str">
        <f t="shared" si="105"/>
        <v>Y</v>
      </c>
      <c r="AC376" t="str">
        <f t="shared" si="106"/>
        <v>BY</v>
      </c>
      <c r="AD376" t="str">
        <f t="shared" si="107"/>
        <v>Periodic Review</v>
      </c>
      <c r="AE376" t="str">
        <f t="shared" si="108"/>
        <v>Bi-Weekly</v>
      </c>
      <c r="AF376" t="str">
        <f t="shared" si="109"/>
        <v>Periodic Review</v>
      </c>
      <c r="AG376" t="str">
        <f t="shared" si="110"/>
        <v>Low</v>
      </c>
      <c r="AH376">
        <f t="shared" si="111"/>
        <v>30</v>
      </c>
      <c r="AI376" t="str">
        <f t="shared" si="112"/>
        <v>Low</v>
      </c>
    </row>
    <row r="377" spans="1:35">
      <c r="A377" t="s">
        <v>490</v>
      </c>
      <c r="B377" t="s">
        <v>38</v>
      </c>
      <c r="C377" t="s">
        <v>15</v>
      </c>
      <c r="D377" t="s">
        <v>25</v>
      </c>
      <c r="E377">
        <v>715</v>
      </c>
      <c r="F377">
        <v>81</v>
      </c>
      <c r="G377">
        <v>18</v>
      </c>
      <c r="H377">
        <v>30</v>
      </c>
      <c r="I377">
        <v>363.55</v>
      </c>
      <c r="J377">
        <v>0.24</v>
      </c>
      <c r="K377">
        <v>865</v>
      </c>
      <c r="L377">
        <v>0.99</v>
      </c>
      <c r="M377">
        <v>2</v>
      </c>
      <c r="N377" s="1">
        <f t="shared" si="95"/>
        <v>2.7</v>
      </c>
      <c r="O377" s="1">
        <f>N377*(1+Control_Panel!$B$2)</f>
        <v>2.7</v>
      </c>
      <c r="P377" s="12">
        <f t="shared" si="96"/>
        <v>0.22222222222222221</v>
      </c>
      <c r="Q377" t="str" cm="1">
        <f t="array" ref="Q377">_xlfn.IFS(P377&lt;0.2,"Stable",P377&lt;=0.5,"Moderate",P377&gt;0.5,"Highly veriable")</f>
        <v>Moderate</v>
      </c>
      <c r="R377" s="1">
        <f t="shared" si="97"/>
        <v>98.590060350929903</v>
      </c>
      <c r="S377" s="1">
        <f t="shared" si="98"/>
        <v>131.29006035092991</v>
      </c>
      <c r="T377" s="1">
        <f t="shared" si="99"/>
        <v>583.70993964907007</v>
      </c>
      <c r="U377" t="str">
        <f t="shared" si="100"/>
        <v xml:space="preserve"> Safe</v>
      </c>
      <c r="V377">
        <f t="shared" si="101"/>
        <v>972</v>
      </c>
      <c r="W377" s="9">
        <f t="shared" si="102"/>
        <v>353370.60000000003</v>
      </c>
      <c r="Y377">
        <f t="shared" si="103"/>
        <v>7.9225758991040166E-4</v>
      </c>
      <c r="Z377" s="12">
        <f t="shared" si="113"/>
        <v>0.93618144883657983</v>
      </c>
      <c r="AA377" t="str">
        <f t="shared" si="104"/>
        <v>B</v>
      </c>
      <c r="AB377" t="str">
        <f t="shared" si="105"/>
        <v>Y</v>
      </c>
      <c r="AC377" t="str">
        <f t="shared" si="106"/>
        <v>BY</v>
      </c>
      <c r="AD377" t="str">
        <f t="shared" si="107"/>
        <v>Periodic Review</v>
      </c>
      <c r="AE377" t="str">
        <f t="shared" si="108"/>
        <v>Bi-Weekly</v>
      </c>
      <c r="AF377" t="str">
        <f t="shared" si="109"/>
        <v>Periodic Review</v>
      </c>
      <c r="AG377" t="str">
        <f t="shared" si="110"/>
        <v>Low</v>
      </c>
      <c r="AH377">
        <f t="shared" si="111"/>
        <v>30</v>
      </c>
      <c r="AI377" t="str">
        <f t="shared" si="112"/>
        <v>Low</v>
      </c>
    </row>
    <row r="378" spans="1:35">
      <c r="A378" t="s">
        <v>205</v>
      </c>
      <c r="B378" t="s">
        <v>21</v>
      </c>
      <c r="C378" t="s">
        <v>15</v>
      </c>
      <c r="D378" t="s">
        <v>16</v>
      </c>
      <c r="E378">
        <v>155</v>
      </c>
      <c r="F378">
        <v>258</v>
      </c>
      <c r="G378">
        <v>32</v>
      </c>
      <c r="H378">
        <v>26</v>
      </c>
      <c r="I378">
        <v>113.56</v>
      </c>
      <c r="J378">
        <v>0.23</v>
      </c>
      <c r="K378">
        <v>992</v>
      </c>
      <c r="L378">
        <v>0.74</v>
      </c>
      <c r="M378">
        <v>3</v>
      </c>
      <c r="N378" s="1">
        <f t="shared" si="95"/>
        <v>8.6</v>
      </c>
      <c r="O378" s="1">
        <f>N378*(1+Control_Panel!$B$2)</f>
        <v>8.6</v>
      </c>
      <c r="P378" s="12">
        <f t="shared" si="96"/>
        <v>0.12403100775193798</v>
      </c>
      <c r="Q378" t="str" cm="1">
        <f t="array" ref="Q378">_xlfn.IFS(P378&lt;0.2,"Stable",P378&lt;=0.5,"Moderate",P378&gt;0.5,"Highly veriable")</f>
        <v>Stable</v>
      </c>
      <c r="R378" s="1">
        <f t="shared" si="97"/>
        <v>163.1686244349691</v>
      </c>
      <c r="S378" s="1">
        <f t="shared" si="98"/>
        <v>197.7686244349691</v>
      </c>
      <c r="T378" s="1">
        <f t="shared" si="99"/>
        <v>-42.768624434969098</v>
      </c>
      <c r="U378" t="str">
        <f t="shared" si="100"/>
        <v xml:space="preserve"> Need to Order</v>
      </c>
      <c r="V378">
        <f t="shared" si="101"/>
        <v>3096</v>
      </c>
      <c r="W378" s="9">
        <f t="shared" si="102"/>
        <v>351581.76</v>
      </c>
      <c r="Y378">
        <f t="shared" si="103"/>
        <v>7.8824700706300193E-4</v>
      </c>
      <c r="Z378" s="12">
        <f t="shared" si="113"/>
        <v>0.93696969584364287</v>
      </c>
      <c r="AA378" t="str">
        <f t="shared" si="104"/>
        <v>B</v>
      </c>
      <c r="AB378" t="str">
        <f t="shared" si="105"/>
        <v>X</v>
      </c>
      <c r="AC378" t="str">
        <f t="shared" si="106"/>
        <v>BX</v>
      </c>
      <c r="AD378" t="str">
        <f t="shared" si="107"/>
        <v>Standard Control</v>
      </c>
      <c r="AE378" t="str">
        <f t="shared" si="108"/>
        <v>Weekly</v>
      </c>
      <c r="AF378" t="str">
        <f t="shared" si="109"/>
        <v>Standard Replenishment</v>
      </c>
      <c r="AG378" t="str">
        <f t="shared" si="110"/>
        <v>Low</v>
      </c>
      <c r="AH378">
        <f t="shared" si="111"/>
        <v>30</v>
      </c>
      <c r="AI378" t="str">
        <f t="shared" si="112"/>
        <v>Low</v>
      </c>
    </row>
    <row r="379" spans="1:35">
      <c r="A379" t="s">
        <v>394</v>
      </c>
      <c r="B379" t="s">
        <v>38</v>
      </c>
      <c r="C379" t="s">
        <v>15</v>
      </c>
      <c r="D379" t="s">
        <v>16</v>
      </c>
      <c r="E379">
        <v>663</v>
      </c>
      <c r="F379">
        <v>227</v>
      </c>
      <c r="G379">
        <v>19</v>
      </c>
      <c r="H379">
        <v>11</v>
      </c>
      <c r="I379">
        <v>127.72</v>
      </c>
      <c r="J379">
        <v>0.11</v>
      </c>
      <c r="K379">
        <v>484</v>
      </c>
      <c r="L379">
        <v>0.91</v>
      </c>
      <c r="M379">
        <v>2</v>
      </c>
      <c r="N379" s="1">
        <f t="shared" si="95"/>
        <v>7.5666666666666664</v>
      </c>
      <c r="O379" s="1">
        <f>N379*(1+Control_Panel!$B$2)</f>
        <v>7.5666666666666664</v>
      </c>
      <c r="P379" s="12">
        <f t="shared" si="96"/>
        <v>8.3700440528634359E-2</v>
      </c>
      <c r="Q379" t="str" cm="1">
        <f t="array" ref="Q379">_xlfn.IFS(P379&lt;0.2,"Stable",P379&lt;=0.5,"Moderate",P379&gt;0.5,"Highly veriable")</f>
        <v>Stable</v>
      </c>
      <c r="R379" s="1">
        <f t="shared" si="97"/>
        <v>63.015871016752598</v>
      </c>
      <c r="S379" s="1">
        <f t="shared" si="98"/>
        <v>81.582537683419261</v>
      </c>
      <c r="T379" s="1">
        <f t="shared" si="99"/>
        <v>581.41746231658078</v>
      </c>
      <c r="U379" t="str">
        <f t="shared" si="100"/>
        <v xml:space="preserve"> Safe</v>
      </c>
      <c r="V379">
        <f t="shared" si="101"/>
        <v>2724</v>
      </c>
      <c r="W379" s="9">
        <f t="shared" si="102"/>
        <v>347909.27999999997</v>
      </c>
      <c r="Y379">
        <f t="shared" si="103"/>
        <v>7.8001329957914738E-4</v>
      </c>
      <c r="Z379" s="12">
        <f t="shared" si="113"/>
        <v>0.93774970914322198</v>
      </c>
      <c r="AA379" t="str">
        <f t="shared" si="104"/>
        <v>B</v>
      </c>
      <c r="AB379" t="str">
        <f t="shared" si="105"/>
        <v>X</v>
      </c>
      <c r="AC379" t="str">
        <f t="shared" si="106"/>
        <v>BX</v>
      </c>
      <c r="AD379" t="str">
        <f t="shared" si="107"/>
        <v>Standard Control</v>
      </c>
      <c r="AE379" t="str">
        <f t="shared" si="108"/>
        <v>Weekly</v>
      </c>
      <c r="AF379" t="str">
        <f t="shared" si="109"/>
        <v>Standard Replenishment</v>
      </c>
      <c r="AG379" t="str">
        <f t="shared" si="110"/>
        <v>Low</v>
      </c>
      <c r="AH379">
        <f t="shared" si="111"/>
        <v>30</v>
      </c>
      <c r="AI379" t="str">
        <f t="shared" si="112"/>
        <v>Low</v>
      </c>
    </row>
    <row r="380" spans="1:35">
      <c r="A380" t="s">
        <v>503</v>
      </c>
      <c r="B380" t="s">
        <v>34</v>
      </c>
      <c r="C380" t="s">
        <v>15</v>
      </c>
      <c r="D380" t="s">
        <v>19</v>
      </c>
      <c r="E380">
        <v>104</v>
      </c>
      <c r="F380">
        <v>70</v>
      </c>
      <c r="G380">
        <v>16</v>
      </c>
      <c r="H380">
        <v>29</v>
      </c>
      <c r="I380">
        <v>413.22</v>
      </c>
      <c r="J380">
        <v>0.11</v>
      </c>
      <c r="K380">
        <v>982</v>
      </c>
      <c r="L380">
        <v>0.96</v>
      </c>
      <c r="M380">
        <v>6</v>
      </c>
      <c r="N380" s="1">
        <f t="shared" si="95"/>
        <v>2.3333333333333335</v>
      </c>
      <c r="O380" s="1">
        <f>N380*(1+Control_Panel!$B$2)</f>
        <v>2.3333333333333335</v>
      </c>
      <c r="P380" s="12">
        <f t="shared" si="96"/>
        <v>0.22857142857142856</v>
      </c>
      <c r="Q380" t="str" cm="1">
        <f t="array" ref="Q380">_xlfn.IFS(P380&lt;0.2,"Stable",P380&lt;=0.5,"Moderate",P380&gt;0.5,"Highly veriable")</f>
        <v>Moderate</v>
      </c>
      <c r="R380" s="1">
        <f t="shared" si="97"/>
        <v>86.16263691415206</v>
      </c>
      <c r="S380" s="1">
        <f t="shared" si="98"/>
        <v>117.49597024748539</v>
      </c>
      <c r="T380" s="1">
        <f t="shared" si="99"/>
        <v>-13.495970247485388</v>
      </c>
      <c r="U380" t="str">
        <f t="shared" si="100"/>
        <v xml:space="preserve"> Need to Order</v>
      </c>
      <c r="V380">
        <f t="shared" si="101"/>
        <v>840</v>
      </c>
      <c r="W380" s="9">
        <f t="shared" si="102"/>
        <v>347104.80000000005</v>
      </c>
      <c r="Y380">
        <f t="shared" si="103"/>
        <v>7.7820965381481086E-4</v>
      </c>
      <c r="Z380" s="12">
        <f t="shared" si="113"/>
        <v>0.93852791879703679</v>
      </c>
      <c r="AA380" t="str">
        <f t="shared" si="104"/>
        <v>B</v>
      </c>
      <c r="AB380" t="str">
        <f t="shared" si="105"/>
        <v>Y</v>
      </c>
      <c r="AC380" t="str">
        <f t="shared" si="106"/>
        <v>BY</v>
      </c>
      <c r="AD380" t="str">
        <f t="shared" si="107"/>
        <v>Periodic Review</v>
      </c>
      <c r="AE380" t="str">
        <f t="shared" si="108"/>
        <v>Bi-Weekly</v>
      </c>
      <c r="AF380" t="str">
        <f t="shared" si="109"/>
        <v>Periodic Review</v>
      </c>
      <c r="AG380" t="str">
        <f t="shared" si="110"/>
        <v>Low</v>
      </c>
      <c r="AH380">
        <f t="shared" si="111"/>
        <v>40</v>
      </c>
      <c r="AI380" t="str">
        <f t="shared" si="112"/>
        <v>Low</v>
      </c>
    </row>
    <row r="381" spans="1:35">
      <c r="A381" t="s">
        <v>134</v>
      </c>
      <c r="B381" t="s">
        <v>18</v>
      </c>
      <c r="C381" t="s">
        <v>22</v>
      </c>
      <c r="D381" t="s">
        <v>41</v>
      </c>
      <c r="E381">
        <v>837</v>
      </c>
      <c r="F381">
        <v>85</v>
      </c>
      <c r="G381">
        <v>84</v>
      </c>
      <c r="H381">
        <v>4</v>
      </c>
      <c r="I381">
        <v>335.58</v>
      </c>
      <c r="J381">
        <v>0.2</v>
      </c>
      <c r="K381">
        <v>732</v>
      </c>
      <c r="L381">
        <v>0.86</v>
      </c>
      <c r="M381">
        <v>9</v>
      </c>
      <c r="N381" s="1">
        <f t="shared" si="95"/>
        <v>2.8333333333333335</v>
      </c>
      <c r="O381" s="1">
        <f>N381*(1+Control_Panel!$B$2)</f>
        <v>2.8333333333333335</v>
      </c>
      <c r="P381" s="12">
        <f t="shared" si="96"/>
        <v>0.9882352941176471</v>
      </c>
      <c r="Q381" t="str" cm="1">
        <f t="array" ref="Q381">_xlfn.IFS(P381&lt;0.2,"Stable",P381&lt;=0.5,"Moderate",P381&gt;0.5,"Highly veriable")</f>
        <v>Highly veriable</v>
      </c>
      <c r="R381" s="1">
        <f t="shared" si="97"/>
        <v>168</v>
      </c>
      <c r="S381" s="1">
        <f t="shared" si="98"/>
        <v>174.83333333333334</v>
      </c>
      <c r="T381" s="1">
        <f t="shared" si="99"/>
        <v>662.16666666666663</v>
      </c>
      <c r="U381" t="str">
        <f t="shared" si="100"/>
        <v xml:space="preserve"> Safe</v>
      </c>
      <c r="V381">
        <f t="shared" si="101"/>
        <v>1020</v>
      </c>
      <c r="W381" s="9">
        <f t="shared" si="102"/>
        <v>342291.6</v>
      </c>
      <c r="Y381">
        <f t="shared" si="103"/>
        <v>7.6741844981607183E-4</v>
      </c>
      <c r="Z381" s="12">
        <f t="shared" si="113"/>
        <v>0.93929533724685288</v>
      </c>
      <c r="AA381" t="str">
        <f t="shared" si="104"/>
        <v>B</v>
      </c>
      <c r="AB381" t="str">
        <f t="shared" si="105"/>
        <v>Z</v>
      </c>
      <c r="AC381" t="str">
        <f t="shared" si="106"/>
        <v>BZ</v>
      </c>
      <c r="AD381" t="str">
        <f t="shared" si="107"/>
        <v>Risk Monitoring</v>
      </c>
      <c r="AE381" t="str">
        <f t="shared" si="108"/>
        <v>Weekly Risk Review</v>
      </c>
      <c r="AF381" t="str">
        <f t="shared" si="109"/>
        <v>Monitor Demand Variability</v>
      </c>
      <c r="AG381" t="str">
        <f t="shared" si="110"/>
        <v>Medium</v>
      </c>
      <c r="AH381">
        <f t="shared" si="111"/>
        <v>50</v>
      </c>
      <c r="AI381" t="str">
        <f t="shared" si="112"/>
        <v>Medium</v>
      </c>
    </row>
    <row r="382" spans="1:35">
      <c r="A382" t="s">
        <v>456</v>
      </c>
      <c r="B382" t="s">
        <v>34</v>
      </c>
      <c r="C382" t="s">
        <v>15</v>
      </c>
      <c r="D382" t="s">
        <v>23</v>
      </c>
      <c r="E382">
        <v>94</v>
      </c>
      <c r="F382">
        <v>371</v>
      </c>
      <c r="G382">
        <v>60</v>
      </c>
      <c r="H382">
        <v>5</v>
      </c>
      <c r="I382">
        <v>76.290000000000006</v>
      </c>
      <c r="J382">
        <v>0.16</v>
      </c>
      <c r="K382">
        <v>463</v>
      </c>
      <c r="L382">
        <v>0.9</v>
      </c>
      <c r="M382">
        <v>8</v>
      </c>
      <c r="N382" s="1">
        <f t="shared" si="95"/>
        <v>12.366666666666667</v>
      </c>
      <c r="O382" s="1">
        <f>N382*(1+Control_Panel!$B$2)</f>
        <v>12.366666666666667</v>
      </c>
      <c r="P382" s="12">
        <f t="shared" si="96"/>
        <v>0.16172506738544473</v>
      </c>
      <c r="Q382" t="str" cm="1">
        <f t="array" ref="Q382">_xlfn.IFS(P382&lt;0.2,"Stable",P382&lt;=0.5,"Moderate",P382&gt;0.5,"Highly veriable")</f>
        <v>Stable</v>
      </c>
      <c r="R382" s="1">
        <f t="shared" si="97"/>
        <v>134.1640786499874</v>
      </c>
      <c r="S382" s="1">
        <f t="shared" si="98"/>
        <v>151.53074531665408</v>
      </c>
      <c r="T382" s="1">
        <f t="shared" si="99"/>
        <v>-57.530745316654077</v>
      </c>
      <c r="U382" t="str">
        <f t="shared" si="100"/>
        <v xml:space="preserve"> Need to Order</v>
      </c>
      <c r="V382">
        <f t="shared" si="101"/>
        <v>4452</v>
      </c>
      <c r="W382" s="9">
        <f t="shared" si="102"/>
        <v>339643.08</v>
      </c>
      <c r="Y382">
        <f t="shared" si="103"/>
        <v>7.6148046269425285E-4</v>
      </c>
      <c r="Z382" s="12">
        <f t="shared" si="113"/>
        <v>0.94005681770954719</v>
      </c>
      <c r="AA382" t="str">
        <f t="shared" si="104"/>
        <v>B</v>
      </c>
      <c r="AB382" t="str">
        <f t="shared" si="105"/>
        <v>X</v>
      </c>
      <c r="AC382" t="str">
        <f t="shared" si="106"/>
        <v>BX</v>
      </c>
      <c r="AD382" t="str">
        <f t="shared" si="107"/>
        <v>Standard Control</v>
      </c>
      <c r="AE382" t="str">
        <f t="shared" si="108"/>
        <v>Weekly</v>
      </c>
      <c r="AF382" t="str">
        <f t="shared" si="109"/>
        <v>Standard Replenishment</v>
      </c>
      <c r="AG382" t="str">
        <f t="shared" si="110"/>
        <v>Low</v>
      </c>
      <c r="AH382">
        <f t="shared" si="111"/>
        <v>50</v>
      </c>
      <c r="AI382" t="str">
        <f t="shared" si="112"/>
        <v>Medium</v>
      </c>
    </row>
    <row r="383" spans="1:35">
      <c r="A383" t="s">
        <v>491</v>
      </c>
      <c r="B383" t="s">
        <v>21</v>
      </c>
      <c r="C383" t="s">
        <v>22</v>
      </c>
      <c r="D383" t="s">
        <v>16</v>
      </c>
      <c r="E383">
        <v>116</v>
      </c>
      <c r="F383">
        <v>369</v>
      </c>
      <c r="G383">
        <v>65</v>
      </c>
      <c r="H383">
        <v>11</v>
      </c>
      <c r="I383">
        <v>76.06</v>
      </c>
      <c r="J383">
        <v>0.18</v>
      </c>
      <c r="K383">
        <v>892</v>
      </c>
      <c r="L383">
        <v>0.82</v>
      </c>
      <c r="M383">
        <v>2</v>
      </c>
      <c r="N383" s="1">
        <f t="shared" si="95"/>
        <v>12.3</v>
      </c>
      <c r="O383" s="1">
        <f>N383*(1+Control_Panel!$B$2)</f>
        <v>12.3</v>
      </c>
      <c r="P383" s="12">
        <f t="shared" si="96"/>
        <v>0.17615176151761516</v>
      </c>
      <c r="Q383" t="str" cm="1">
        <f t="array" ref="Q383">_xlfn.IFS(P383&lt;0.2,"Stable",P383&lt;=0.5,"Moderate",P383&gt;0.5,"Highly veriable")</f>
        <v>Stable</v>
      </c>
      <c r="R383" s="1">
        <f t="shared" si="97"/>
        <v>215.58061137310099</v>
      </c>
      <c r="S383" s="1">
        <f t="shared" si="98"/>
        <v>238.880611373101</v>
      </c>
      <c r="T383" s="1">
        <f t="shared" si="99"/>
        <v>-122.880611373101</v>
      </c>
      <c r="U383" t="str">
        <f t="shared" si="100"/>
        <v xml:space="preserve"> Need to Order</v>
      </c>
      <c r="V383">
        <f t="shared" si="101"/>
        <v>4428</v>
      </c>
      <c r="W383" s="9">
        <f t="shared" si="102"/>
        <v>336793.68</v>
      </c>
      <c r="Y383">
        <f t="shared" si="103"/>
        <v>7.5509210221182815E-4</v>
      </c>
      <c r="Z383" s="12">
        <f t="shared" si="113"/>
        <v>0.940811909811759</v>
      </c>
      <c r="AA383" t="str">
        <f t="shared" si="104"/>
        <v>B</v>
      </c>
      <c r="AB383" t="str">
        <f t="shared" si="105"/>
        <v>X</v>
      </c>
      <c r="AC383" t="str">
        <f t="shared" si="106"/>
        <v>BX</v>
      </c>
      <c r="AD383" t="str">
        <f t="shared" si="107"/>
        <v>Standard Control</v>
      </c>
      <c r="AE383" t="str">
        <f t="shared" si="108"/>
        <v>Weekly</v>
      </c>
      <c r="AF383" t="str">
        <f t="shared" si="109"/>
        <v>Standard Replenishment</v>
      </c>
      <c r="AG383" t="str">
        <f t="shared" si="110"/>
        <v>Low</v>
      </c>
      <c r="AH383">
        <f t="shared" si="111"/>
        <v>30</v>
      </c>
      <c r="AI383" t="str">
        <f t="shared" si="112"/>
        <v>Low</v>
      </c>
    </row>
    <row r="384" spans="1:35">
      <c r="A384" t="s">
        <v>392</v>
      </c>
      <c r="B384" t="s">
        <v>21</v>
      </c>
      <c r="C384" t="s">
        <v>15</v>
      </c>
      <c r="D384" t="s">
        <v>19</v>
      </c>
      <c r="E384">
        <v>914</v>
      </c>
      <c r="F384">
        <v>138</v>
      </c>
      <c r="G384">
        <v>30</v>
      </c>
      <c r="H384">
        <v>18</v>
      </c>
      <c r="I384">
        <v>201.67</v>
      </c>
      <c r="J384">
        <v>0.21</v>
      </c>
      <c r="K384">
        <v>735</v>
      </c>
      <c r="L384">
        <v>0.88</v>
      </c>
      <c r="M384">
        <v>7</v>
      </c>
      <c r="N384" s="1">
        <f t="shared" si="95"/>
        <v>4.5999999999999996</v>
      </c>
      <c r="O384" s="1">
        <f>N384*(1+Control_Panel!$B$2)</f>
        <v>4.5999999999999996</v>
      </c>
      <c r="P384" s="12">
        <f t="shared" si="96"/>
        <v>0.21739130434782608</v>
      </c>
      <c r="Q384" t="str" cm="1">
        <f t="array" ref="Q384">_xlfn.IFS(P384&lt;0.2,"Stable",P384&lt;=0.5,"Moderate",P384&gt;0.5,"Highly veriable")</f>
        <v>Moderate</v>
      </c>
      <c r="R384" s="1">
        <f t="shared" si="97"/>
        <v>127.27922061357854</v>
      </c>
      <c r="S384" s="1">
        <f t="shared" si="98"/>
        <v>149.87922061357855</v>
      </c>
      <c r="T384" s="1">
        <f t="shared" si="99"/>
        <v>764.12077938642142</v>
      </c>
      <c r="U384" t="str">
        <f t="shared" si="100"/>
        <v xml:space="preserve"> Safe</v>
      </c>
      <c r="V384">
        <f t="shared" si="101"/>
        <v>1656</v>
      </c>
      <c r="W384" s="9">
        <f t="shared" si="102"/>
        <v>333965.51999999996</v>
      </c>
      <c r="Y384">
        <f t="shared" si="103"/>
        <v>7.4875136185176131E-4</v>
      </c>
      <c r="Z384" s="12">
        <f t="shared" si="113"/>
        <v>0.9415606611736107</v>
      </c>
      <c r="AA384" t="str">
        <f t="shared" si="104"/>
        <v>B</v>
      </c>
      <c r="AB384" t="str">
        <f t="shared" si="105"/>
        <v>Y</v>
      </c>
      <c r="AC384" t="str">
        <f t="shared" si="106"/>
        <v>BY</v>
      </c>
      <c r="AD384" t="str">
        <f t="shared" si="107"/>
        <v>Periodic Review</v>
      </c>
      <c r="AE384" t="str">
        <f t="shared" si="108"/>
        <v>Bi-Weekly</v>
      </c>
      <c r="AF384" t="str">
        <f t="shared" si="109"/>
        <v>Periodic Review</v>
      </c>
      <c r="AG384" t="str">
        <f t="shared" si="110"/>
        <v>Low</v>
      </c>
      <c r="AH384">
        <f t="shared" si="111"/>
        <v>40</v>
      </c>
      <c r="AI384" t="str">
        <f t="shared" si="112"/>
        <v>Low</v>
      </c>
    </row>
    <row r="385" spans="1:35">
      <c r="A385" t="s">
        <v>219</v>
      </c>
      <c r="B385" t="s">
        <v>38</v>
      </c>
      <c r="C385" t="s">
        <v>15</v>
      </c>
      <c r="D385" t="s">
        <v>23</v>
      </c>
      <c r="E385">
        <v>579</v>
      </c>
      <c r="F385">
        <v>187</v>
      </c>
      <c r="G385">
        <v>17</v>
      </c>
      <c r="H385">
        <v>14</v>
      </c>
      <c r="I385">
        <v>148.32</v>
      </c>
      <c r="J385">
        <v>0.12</v>
      </c>
      <c r="K385">
        <v>348</v>
      </c>
      <c r="L385">
        <v>0.82</v>
      </c>
      <c r="M385">
        <v>5</v>
      </c>
      <c r="N385" s="1">
        <f t="shared" si="95"/>
        <v>6.2333333333333334</v>
      </c>
      <c r="O385" s="1">
        <f>N385*(1+Control_Panel!$B$2)</f>
        <v>6.2333333333333334</v>
      </c>
      <c r="P385" s="12">
        <f t="shared" si="96"/>
        <v>9.0909090909090912E-2</v>
      </c>
      <c r="Q385" t="str" cm="1">
        <f t="array" ref="Q385">_xlfn.IFS(P385&lt;0.2,"Stable",P385&lt;=0.5,"Moderate",P385&gt;0.5,"Highly veriable")</f>
        <v>Stable</v>
      </c>
      <c r="R385" s="1">
        <f t="shared" si="97"/>
        <v>63.608175575157006</v>
      </c>
      <c r="S385" s="1">
        <f t="shared" si="98"/>
        <v>83.84150890849034</v>
      </c>
      <c r="T385" s="1">
        <f t="shared" si="99"/>
        <v>495.15849109150963</v>
      </c>
      <c r="U385" t="str">
        <f t="shared" si="100"/>
        <v xml:space="preserve"> Safe</v>
      </c>
      <c r="V385">
        <f t="shared" si="101"/>
        <v>2244</v>
      </c>
      <c r="W385" s="9">
        <f t="shared" si="102"/>
        <v>332830.07999999996</v>
      </c>
      <c r="Y385">
        <f t="shared" si="103"/>
        <v>7.4620570310740661E-4</v>
      </c>
      <c r="Z385" s="12">
        <f t="shared" si="113"/>
        <v>0.94230686687671816</v>
      </c>
      <c r="AA385" t="str">
        <f t="shared" si="104"/>
        <v>B</v>
      </c>
      <c r="AB385" t="str">
        <f t="shared" si="105"/>
        <v>X</v>
      </c>
      <c r="AC385" t="str">
        <f t="shared" si="106"/>
        <v>BX</v>
      </c>
      <c r="AD385" t="str">
        <f t="shared" si="107"/>
        <v>Standard Control</v>
      </c>
      <c r="AE385" t="str">
        <f t="shared" si="108"/>
        <v>Weekly</v>
      </c>
      <c r="AF385" t="str">
        <f t="shared" si="109"/>
        <v>Standard Replenishment</v>
      </c>
      <c r="AG385" t="str">
        <f t="shared" si="110"/>
        <v>Low</v>
      </c>
      <c r="AH385">
        <f t="shared" si="111"/>
        <v>40</v>
      </c>
      <c r="AI385" t="str">
        <f t="shared" si="112"/>
        <v>Low</v>
      </c>
    </row>
    <row r="386" spans="1:35">
      <c r="A386" t="s">
        <v>463</v>
      </c>
      <c r="B386" t="s">
        <v>14</v>
      </c>
      <c r="C386" t="s">
        <v>22</v>
      </c>
      <c r="D386" t="s">
        <v>41</v>
      </c>
      <c r="E386">
        <v>466</v>
      </c>
      <c r="F386">
        <v>264</v>
      </c>
      <c r="G386">
        <v>44</v>
      </c>
      <c r="H386">
        <v>1</v>
      </c>
      <c r="I386">
        <v>104.73</v>
      </c>
      <c r="J386">
        <v>0.21</v>
      </c>
      <c r="K386">
        <v>913</v>
      </c>
      <c r="L386">
        <v>0.94</v>
      </c>
      <c r="M386">
        <v>6</v>
      </c>
      <c r="N386" s="1">
        <f t="shared" ref="N386:N449" si="114">F386/30</f>
        <v>8.8000000000000007</v>
      </c>
      <c r="O386" s="1">
        <f>N386*(1+Control_Panel!$B$2)</f>
        <v>8.8000000000000007</v>
      </c>
      <c r="P386" s="12">
        <f t="shared" ref="P386:P449" si="115">G386/F386</f>
        <v>0.16666666666666666</v>
      </c>
      <c r="Q386" t="str" cm="1">
        <f t="array" ref="Q386">_xlfn.IFS(P386&lt;0.2,"Stable",P386&lt;=0.5,"Moderate",P386&gt;0.5,"Highly veriable")</f>
        <v>Stable</v>
      </c>
      <c r="R386" s="1">
        <f t="shared" ref="R386:R449" si="116">G386*SQRT(H386)</f>
        <v>44</v>
      </c>
      <c r="S386" s="1">
        <f t="shared" ref="S386:S449" si="117">O386+H386+R386</f>
        <v>53.8</v>
      </c>
      <c r="T386" s="1">
        <f t="shared" ref="T386:T449" si="118">E386-S386</f>
        <v>412.2</v>
      </c>
      <c r="U386" t="str">
        <f t="shared" ref="U386:U449" si="119">IF(T386&lt;0," Need to Order",
   IF(T386&lt;=R386," Risk",
      " Safe"))</f>
        <v xml:space="preserve"> Safe</v>
      </c>
      <c r="V386">
        <f t="shared" ref="V386:V449" si="120">F386*12</f>
        <v>3168</v>
      </c>
      <c r="W386" s="9">
        <f t="shared" ref="W386:W449" si="121">V386*I386</f>
        <v>331784.64</v>
      </c>
      <c r="Y386">
        <f t="shared" si="103"/>
        <v>7.4386182454253479E-4</v>
      </c>
      <c r="Z386" s="12">
        <f t="shared" si="113"/>
        <v>0.94305072870126072</v>
      </c>
      <c r="AA386" t="str">
        <f t="shared" si="104"/>
        <v>B</v>
      </c>
      <c r="AB386" t="str">
        <f t="shared" si="105"/>
        <v>X</v>
      </c>
      <c r="AC386" t="str">
        <f t="shared" si="106"/>
        <v>BX</v>
      </c>
      <c r="AD386" t="str">
        <f t="shared" si="107"/>
        <v>Standard Control</v>
      </c>
      <c r="AE386" t="str">
        <f t="shared" si="108"/>
        <v>Weekly</v>
      </c>
      <c r="AF386" t="str">
        <f t="shared" si="109"/>
        <v>Standard Replenishment</v>
      </c>
      <c r="AG386" t="str">
        <f t="shared" si="110"/>
        <v>Low</v>
      </c>
      <c r="AH386">
        <f t="shared" si="111"/>
        <v>40</v>
      </c>
      <c r="AI386" t="str">
        <f t="shared" si="112"/>
        <v>Low</v>
      </c>
    </row>
    <row r="387" spans="1:35">
      <c r="A387" t="s">
        <v>76</v>
      </c>
      <c r="B387" t="s">
        <v>29</v>
      </c>
      <c r="C387" t="s">
        <v>22</v>
      </c>
      <c r="D387" t="s">
        <v>19</v>
      </c>
      <c r="E387">
        <v>841</v>
      </c>
      <c r="F387">
        <v>154</v>
      </c>
      <c r="G387">
        <v>92</v>
      </c>
      <c r="H387">
        <v>1</v>
      </c>
      <c r="I387">
        <v>178.5</v>
      </c>
      <c r="J387">
        <v>0.14000000000000001</v>
      </c>
      <c r="K387">
        <v>959</v>
      </c>
      <c r="L387">
        <v>0.81</v>
      </c>
      <c r="M387">
        <v>7</v>
      </c>
      <c r="N387" s="1">
        <f t="shared" si="114"/>
        <v>5.1333333333333337</v>
      </c>
      <c r="O387" s="1">
        <f>N387*(1+Control_Panel!$B$2)</f>
        <v>5.1333333333333337</v>
      </c>
      <c r="P387" s="12">
        <f t="shared" si="115"/>
        <v>0.59740259740259738</v>
      </c>
      <c r="Q387" t="str" cm="1">
        <f t="array" ref="Q387">_xlfn.IFS(P387&lt;0.2,"Stable",P387&lt;=0.5,"Moderate",P387&gt;0.5,"Highly veriable")</f>
        <v>Highly veriable</v>
      </c>
      <c r="R387" s="1">
        <f t="shared" si="116"/>
        <v>92</v>
      </c>
      <c r="S387" s="1">
        <f t="shared" si="117"/>
        <v>98.13333333333334</v>
      </c>
      <c r="T387" s="1">
        <f t="shared" si="118"/>
        <v>742.86666666666667</v>
      </c>
      <c r="U387" t="str">
        <f t="shared" si="119"/>
        <v xml:space="preserve"> Safe</v>
      </c>
      <c r="V387">
        <f t="shared" si="120"/>
        <v>1848</v>
      </c>
      <c r="W387" s="9">
        <f t="shared" si="121"/>
        <v>329868</v>
      </c>
      <c r="Y387">
        <f t="shared" ref="Y387:Y450" si="122">W387/$X$3</f>
        <v>7.3956471384026951E-4</v>
      </c>
      <c r="Z387" s="12">
        <f t="shared" si="113"/>
        <v>0.94379029341510101</v>
      </c>
      <c r="AA387" t="str">
        <f t="shared" ref="AA387:AA450" si="123">IF(Z387&lt;=80%,"A",IF(Z387&lt;=95%,"B","C"))</f>
        <v>B</v>
      </c>
      <c r="AB387" t="str">
        <f t="shared" ref="AB387:AB450" si="124">IF(P387&lt;=20%,"X",IF(P387&lt;=50%,"Y","Z"))</f>
        <v>Z</v>
      </c>
      <c r="AC387" t="str">
        <f t="shared" ref="AC387:AC450" si="125">AA387&amp;AB387</f>
        <v>BZ</v>
      </c>
      <c r="AD387" t="str">
        <f t="shared" ref="AD387:AD450" si="126">IF(AC387="AX","Strict Control",
IF(AC387="AY","Frequent Monitoring",
IF(AC387="AZ","Risk-Control Strategy",
IF(AC387="BX","Standard Control",
IF(AC387="BY","Periodic Review",
IF(AC387="BZ","Risk Monitoring",
IF(AC387="CX","Simplified Bulk Control",
IF(AC387="CY","Low-Priority Monitoring",
IF(AC387="CZ","Minimal Control","Check")))))))))</f>
        <v>Risk Monitoring</v>
      </c>
      <c r="AE387" t="str">
        <f t="shared" ref="AE387:AE450" si="127">IF(AC387="AX","Daily",
IF(AC387="AY","Every 2 Days",
IF(AC387="AZ","Daily + Manager Review",
IF(AC387="BX","Weekly",
IF(AC387="BY","Bi-Weekly",
IF(AC387="BZ","Weekly Risk Review",
IF(AC387="CX","Monthly",
IF(AC387="CY","Monthly Review",
IF(AC387="CZ","Quarterly","Check")))))))))</f>
        <v>Weekly Risk Review</v>
      </c>
      <c r="AF387" t="str">
        <f t="shared" ref="AF387:AF450" si="128">IF(AC387="AX","Strict Replenishment",
IF(AC387="AY","Frequent Monitoring",
IF(AC387="AZ","Increase Safety Stock",
IF(AC387="BX","Standard Replenishment",
IF(AC387="BY","Periodic Review",
IF(AC387="BZ","Monitor Demand Variability",
IF(AC387="CX","Bulk Ordering",
IF(AC387="CY","Low Priority Monitoring",
IF(AC387="CZ","Reduce Inventory Exposure",
"Check")))))))))</f>
        <v>Monitor Demand Variability</v>
      </c>
      <c r="AG387" t="str">
        <f t="shared" ref="AG387:AG450" si="129">IF(AC387="AZ","Critical",
IF(AC387="AY","High",
IF(AC387="BZ","Medium",
IF(U387="Need to Order","Medium",
"Low"))))</f>
        <v>Medium</v>
      </c>
      <c r="AH387">
        <f t="shared" ref="AH387:AH450" si="130">IF(AC387="AZ",40,
IF(AC387="AY",30,
IF(AC387="AX",20,10)))
+
IF(U387="Need to Order",30,
IF(U387="Risk",15,0))
+
IF(L387&lt;70,20,
IF(L387&lt;85,10,0))
+
IF(M387&gt;7,20,
IF(M387&gt;4,10,0))</f>
        <v>40</v>
      </c>
      <c r="AI387" t="str">
        <f t="shared" ref="AI387:AI450" si="131">IF(AH387&gt;=70,"Critical",
IF(AH387&gt;=60,"High",
IF(AH387&gt;=50,"Medium",
"Low")))</f>
        <v>Low</v>
      </c>
    </row>
    <row r="388" spans="1:35">
      <c r="A388" t="s">
        <v>365</v>
      </c>
      <c r="B388" t="s">
        <v>18</v>
      </c>
      <c r="C388" t="s">
        <v>22</v>
      </c>
      <c r="D388" t="s">
        <v>16</v>
      </c>
      <c r="E388">
        <v>504</v>
      </c>
      <c r="F388">
        <v>275</v>
      </c>
      <c r="G388">
        <v>100</v>
      </c>
      <c r="H388">
        <v>26</v>
      </c>
      <c r="I388">
        <v>99.76</v>
      </c>
      <c r="J388">
        <v>0.15</v>
      </c>
      <c r="K388">
        <v>385</v>
      </c>
      <c r="L388">
        <v>0.71</v>
      </c>
      <c r="M388">
        <v>1</v>
      </c>
      <c r="N388" s="1">
        <f t="shared" si="114"/>
        <v>9.1666666666666661</v>
      </c>
      <c r="O388" s="1">
        <f>N388*(1+Control_Panel!$B$2)</f>
        <v>9.1666666666666661</v>
      </c>
      <c r="P388" s="12">
        <f t="shared" si="115"/>
        <v>0.36363636363636365</v>
      </c>
      <c r="Q388" t="str" cm="1">
        <f t="array" ref="Q388">_xlfn.IFS(P388&lt;0.2,"Stable",P388&lt;=0.5,"Moderate",P388&gt;0.5,"Highly veriable")</f>
        <v>Moderate</v>
      </c>
      <c r="R388" s="1">
        <f t="shared" si="116"/>
        <v>509.90195135927843</v>
      </c>
      <c r="S388" s="1">
        <f t="shared" si="117"/>
        <v>545.06861802594506</v>
      </c>
      <c r="T388" s="1">
        <f t="shared" si="118"/>
        <v>-41.068618025945057</v>
      </c>
      <c r="U388" t="str">
        <f t="shared" si="119"/>
        <v xml:space="preserve"> Need to Order</v>
      </c>
      <c r="V388">
        <f t="shared" si="120"/>
        <v>3300</v>
      </c>
      <c r="W388" s="9">
        <f t="shared" si="121"/>
        <v>329208</v>
      </c>
      <c r="Y388">
        <f t="shared" si="122"/>
        <v>7.3808499252406257E-4</v>
      </c>
      <c r="Z388" s="12">
        <f t="shared" ref="Z388:Z451" si="132">Z387+Y388</f>
        <v>0.94452837840762505</v>
      </c>
      <c r="AA388" t="str">
        <f t="shared" si="123"/>
        <v>B</v>
      </c>
      <c r="AB388" t="str">
        <f t="shared" si="124"/>
        <v>Y</v>
      </c>
      <c r="AC388" t="str">
        <f t="shared" si="125"/>
        <v>BY</v>
      </c>
      <c r="AD388" t="str">
        <f t="shared" si="126"/>
        <v>Periodic Review</v>
      </c>
      <c r="AE388" t="str">
        <f t="shared" si="127"/>
        <v>Bi-Weekly</v>
      </c>
      <c r="AF388" t="str">
        <f t="shared" si="128"/>
        <v>Periodic Review</v>
      </c>
      <c r="AG388" t="str">
        <f t="shared" si="129"/>
        <v>Low</v>
      </c>
      <c r="AH388">
        <f t="shared" si="130"/>
        <v>30</v>
      </c>
      <c r="AI388" t="str">
        <f t="shared" si="131"/>
        <v>Low</v>
      </c>
    </row>
    <row r="389" spans="1:35">
      <c r="A389" t="s">
        <v>273</v>
      </c>
      <c r="B389" t="s">
        <v>21</v>
      </c>
      <c r="C389" t="s">
        <v>15</v>
      </c>
      <c r="D389" t="s">
        <v>41</v>
      </c>
      <c r="E389">
        <v>135</v>
      </c>
      <c r="F389">
        <v>262</v>
      </c>
      <c r="G389">
        <v>70</v>
      </c>
      <c r="H389">
        <v>12</v>
      </c>
      <c r="I389">
        <v>104.29</v>
      </c>
      <c r="J389">
        <v>0.18</v>
      </c>
      <c r="K389">
        <v>105</v>
      </c>
      <c r="L389">
        <v>0.89</v>
      </c>
      <c r="M389">
        <v>5</v>
      </c>
      <c r="N389" s="1">
        <f t="shared" si="114"/>
        <v>8.7333333333333325</v>
      </c>
      <c r="O389" s="1">
        <f>N389*(1+Control_Panel!$B$2)</f>
        <v>8.7333333333333325</v>
      </c>
      <c r="P389" s="12">
        <f t="shared" si="115"/>
        <v>0.26717557251908397</v>
      </c>
      <c r="Q389" t="str" cm="1">
        <f t="array" ref="Q389">_xlfn.IFS(P389&lt;0.2,"Stable",P389&lt;=0.5,"Moderate",P389&gt;0.5,"Highly veriable")</f>
        <v>Moderate</v>
      </c>
      <c r="R389" s="1">
        <f t="shared" si="116"/>
        <v>242.48711305964281</v>
      </c>
      <c r="S389" s="1">
        <f t="shared" si="117"/>
        <v>263.22044639297616</v>
      </c>
      <c r="T389" s="1">
        <f t="shared" si="118"/>
        <v>-128.22044639297616</v>
      </c>
      <c r="U389" t="str">
        <f t="shared" si="119"/>
        <v xml:space="preserve"> Need to Order</v>
      </c>
      <c r="V389">
        <f t="shared" si="120"/>
        <v>3144</v>
      </c>
      <c r="W389" s="9">
        <f t="shared" si="121"/>
        <v>327887.76</v>
      </c>
      <c r="Y389">
        <f t="shared" si="122"/>
        <v>7.3512501181116987E-4</v>
      </c>
      <c r="Z389" s="12">
        <f t="shared" si="132"/>
        <v>0.94526350341943621</v>
      </c>
      <c r="AA389" t="str">
        <f t="shared" si="123"/>
        <v>B</v>
      </c>
      <c r="AB389" t="str">
        <f t="shared" si="124"/>
        <v>Y</v>
      </c>
      <c r="AC389" t="str">
        <f t="shared" si="125"/>
        <v>BY</v>
      </c>
      <c r="AD389" t="str">
        <f t="shared" si="126"/>
        <v>Periodic Review</v>
      </c>
      <c r="AE389" t="str">
        <f t="shared" si="127"/>
        <v>Bi-Weekly</v>
      </c>
      <c r="AF389" t="str">
        <f t="shared" si="128"/>
        <v>Periodic Review</v>
      </c>
      <c r="AG389" t="str">
        <f t="shared" si="129"/>
        <v>Low</v>
      </c>
      <c r="AH389">
        <f t="shared" si="130"/>
        <v>40</v>
      </c>
      <c r="AI389" t="str">
        <f t="shared" si="131"/>
        <v>Low</v>
      </c>
    </row>
    <row r="390" spans="1:35">
      <c r="A390" t="s">
        <v>141</v>
      </c>
      <c r="B390" t="s">
        <v>38</v>
      </c>
      <c r="C390" t="s">
        <v>15</v>
      </c>
      <c r="D390" t="s">
        <v>25</v>
      </c>
      <c r="E390">
        <v>939</v>
      </c>
      <c r="F390">
        <v>71</v>
      </c>
      <c r="G390">
        <v>60</v>
      </c>
      <c r="H390">
        <v>11</v>
      </c>
      <c r="I390">
        <v>384.69</v>
      </c>
      <c r="J390">
        <v>0.22</v>
      </c>
      <c r="K390">
        <v>249</v>
      </c>
      <c r="L390">
        <v>0.89</v>
      </c>
      <c r="M390">
        <v>6</v>
      </c>
      <c r="N390" s="1">
        <f t="shared" si="114"/>
        <v>2.3666666666666667</v>
      </c>
      <c r="O390" s="1">
        <f>N390*(1+Control_Panel!$B$2)</f>
        <v>2.3666666666666667</v>
      </c>
      <c r="P390" s="12">
        <f t="shared" si="115"/>
        <v>0.84507042253521125</v>
      </c>
      <c r="Q390" t="str" cm="1">
        <f t="array" ref="Q390">_xlfn.IFS(P390&lt;0.2,"Stable",P390&lt;=0.5,"Moderate",P390&gt;0.5,"Highly veriable")</f>
        <v>Highly veriable</v>
      </c>
      <c r="R390" s="1">
        <f t="shared" si="116"/>
        <v>198.997487421324</v>
      </c>
      <c r="S390" s="1">
        <f t="shared" si="117"/>
        <v>212.36415408799067</v>
      </c>
      <c r="T390" s="1">
        <f t="shared" si="118"/>
        <v>726.63584591200936</v>
      </c>
      <c r="U390" t="str">
        <f t="shared" si="119"/>
        <v xml:space="preserve"> Safe</v>
      </c>
      <c r="V390">
        <f t="shared" si="120"/>
        <v>852</v>
      </c>
      <c r="W390" s="9">
        <f t="shared" si="121"/>
        <v>327755.88</v>
      </c>
      <c r="Y390">
        <f t="shared" si="122"/>
        <v>7.3482933658816781E-4</v>
      </c>
      <c r="Z390" s="12">
        <f t="shared" si="132"/>
        <v>0.94599833275602441</v>
      </c>
      <c r="AA390" t="str">
        <f t="shared" si="123"/>
        <v>B</v>
      </c>
      <c r="AB390" t="str">
        <f t="shared" si="124"/>
        <v>Z</v>
      </c>
      <c r="AC390" t="str">
        <f t="shared" si="125"/>
        <v>BZ</v>
      </c>
      <c r="AD390" t="str">
        <f t="shared" si="126"/>
        <v>Risk Monitoring</v>
      </c>
      <c r="AE390" t="str">
        <f t="shared" si="127"/>
        <v>Weekly Risk Review</v>
      </c>
      <c r="AF390" t="str">
        <f t="shared" si="128"/>
        <v>Monitor Demand Variability</v>
      </c>
      <c r="AG390" t="str">
        <f t="shared" si="129"/>
        <v>Medium</v>
      </c>
      <c r="AH390">
        <f t="shared" si="130"/>
        <v>40</v>
      </c>
      <c r="AI390" t="str">
        <f t="shared" si="131"/>
        <v>Low</v>
      </c>
    </row>
    <row r="391" spans="1:35">
      <c r="A391" t="s">
        <v>139</v>
      </c>
      <c r="B391" t="s">
        <v>34</v>
      </c>
      <c r="C391" t="s">
        <v>22</v>
      </c>
      <c r="D391" t="s">
        <v>41</v>
      </c>
      <c r="E391">
        <v>619</v>
      </c>
      <c r="F391">
        <v>362</v>
      </c>
      <c r="G391">
        <v>76</v>
      </c>
      <c r="H391">
        <v>4</v>
      </c>
      <c r="I391">
        <v>75.31</v>
      </c>
      <c r="J391">
        <v>0.09</v>
      </c>
      <c r="K391">
        <v>728</v>
      </c>
      <c r="L391">
        <v>0.9</v>
      </c>
      <c r="M391">
        <v>1</v>
      </c>
      <c r="N391" s="1">
        <f t="shared" si="114"/>
        <v>12.066666666666666</v>
      </c>
      <c r="O391" s="1">
        <f>N391*(1+Control_Panel!$B$2)</f>
        <v>12.066666666666666</v>
      </c>
      <c r="P391" s="12">
        <f t="shared" si="115"/>
        <v>0.20994475138121546</v>
      </c>
      <c r="Q391" t="str" cm="1">
        <f t="array" ref="Q391">_xlfn.IFS(P391&lt;0.2,"Stable",P391&lt;=0.5,"Moderate",P391&gt;0.5,"Highly veriable")</f>
        <v>Moderate</v>
      </c>
      <c r="R391" s="1">
        <f t="shared" si="116"/>
        <v>152</v>
      </c>
      <c r="S391" s="1">
        <f t="shared" si="117"/>
        <v>168.06666666666666</v>
      </c>
      <c r="T391" s="1">
        <f t="shared" si="118"/>
        <v>450.93333333333334</v>
      </c>
      <c r="U391" t="str">
        <f t="shared" si="119"/>
        <v xml:space="preserve"> Safe</v>
      </c>
      <c r="V391">
        <f t="shared" si="120"/>
        <v>4344</v>
      </c>
      <c r="W391" s="9">
        <f t="shared" si="121"/>
        <v>327146.64</v>
      </c>
      <c r="Y391">
        <f t="shared" si="122"/>
        <v>7.334634192931891E-4</v>
      </c>
      <c r="Z391" s="12">
        <f t="shared" si="132"/>
        <v>0.94673179617531755</v>
      </c>
      <c r="AA391" t="str">
        <f t="shared" si="123"/>
        <v>B</v>
      </c>
      <c r="AB391" t="str">
        <f t="shared" si="124"/>
        <v>Y</v>
      </c>
      <c r="AC391" t="str">
        <f t="shared" si="125"/>
        <v>BY</v>
      </c>
      <c r="AD391" t="str">
        <f t="shared" si="126"/>
        <v>Periodic Review</v>
      </c>
      <c r="AE391" t="str">
        <f t="shared" si="127"/>
        <v>Bi-Weekly</v>
      </c>
      <c r="AF391" t="str">
        <f t="shared" si="128"/>
        <v>Periodic Review</v>
      </c>
      <c r="AG391" t="str">
        <f t="shared" si="129"/>
        <v>Low</v>
      </c>
      <c r="AH391">
        <f t="shared" si="130"/>
        <v>30</v>
      </c>
      <c r="AI391" t="str">
        <f t="shared" si="131"/>
        <v>Low</v>
      </c>
    </row>
    <row r="392" spans="1:35">
      <c r="A392" t="s">
        <v>281</v>
      </c>
      <c r="B392" t="s">
        <v>18</v>
      </c>
      <c r="C392" t="s">
        <v>15</v>
      </c>
      <c r="D392" t="s">
        <v>16</v>
      </c>
      <c r="E392">
        <v>455</v>
      </c>
      <c r="F392">
        <v>329</v>
      </c>
      <c r="G392">
        <v>19</v>
      </c>
      <c r="H392">
        <v>3</v>
      </c>
      <c r="I392">
        <v>82.24</v>
      </c>
      <c r="J392">
        <v>0.15</v>
      </c>
      <c r="K392">
        <v>227</v>
      </c>
      <c r="L392">
        <v>0.88</v>
      </c>
      <c r="M392">
        <v>7</v>
      </c>
      <c r="N392" s="1">
        <f t="shared" si="114"/>
        <v>10.966666666666667</v>
      </c>
      <c r="O392" s="1">
        <f>N392*(1+Control_Panel!$B$2)</f>
        <v>10.966666666666667</v>
      </c>
      <c r="P392" s="12">
        <f t="shared" si="115"/>
        <v>5.7750759878419454E-2</v>
      </c>
      <c r="Q392" t="str" cm="1">
        <f t="array" ref="Q392">_xlfn.IFS(P392&lt;0.2,"Stable",P392&lt;=0.5,"Moderate",P392&gt;0.5,"Highly veriable")</f>
        <v>Stable</v>
      </c>
      <c r="R392" s="1">
        <f t="shared" si="116"/>
        <v>32.908965343808667</v>
      </c>
      <c r="S392" s="1">
        <f t="shared" si="117"/>
        <v>46.875632010475336</v>
      </c>
      <c r="T392" s="1">
        <f t="shared" si="118"/>
        <v>408.12436798952467</v>
      </c>
      <c r="U392" t="str">
        <f t="shared" si="119"/>
        <v xml:space="preserve"> Safe</v>
      </c>
      <c r="V392">
        <f t="shared" si="120"/>
        <v>3948</v>
      </c>
      <c r="W392" s="9">
        <f t="shared" si="121"/>
        <v>324683.51999999996</v>
      </c>
      <c r="Y392">
        <f t="shared" si="122"/>
        <v>7.2794109934110431E-4</v>
      </c>
      <c r="Z392" s="12">
        <f t="shared" si="132"/>
        <v>0.94745973727465871</v>
      </c>
      <c r="AA392" t="str">
        <f t="shared" si="123"/>
        <v>B</v>
      </c>
      <c r="AB392" t="str">
        <f t="shared" si="124"/>
        <v>X</v>
      </c>
      <c r="AC392" t="str">
        <f t="shared" si="125"/>
        <v>BX</v>
      </c>
      <c r="AD392" t="str">
        <f t="shared" si="126"/>
        <v>Standard Control</v>
      </c>
      <c r="AE392" t="str">
        <f t="shared" si="127"/>
        <v>Weekly</v>
      </c>
      <c r="AF392" t="str">
        <f t="shared" si="128"/>
        <v>Standard Replenishment</v>
      </c>
      <c r="AG392" t="str">
        <f t="shared" si="129"/>
        <v>Low</v>
      </c>
      <c r="AH392">
        <f t="shared" si="130"/>
        <v>40</v>
      </c>
      <c r="AI392" t="str">
        <f t="shared" si="131"/>
        <v>Low</v>
      </c>
    </row>
    <row r="393" spans="1:35">
      <c r="A393" t="s">
        <v>150</v>
      </c>
      <c r="B393" t="s">
        <v>21</v>
      </c>
      <c r="C393" t="s">
        <v>15</v>
      </c>
      <c r="D393" t="s">
        <v>41</v>
      </c>
      <c r="E393">
        <v>999</v>
      </c>
      <c r="F393">
        <v>149</v>
      </c>
      <c r="G393">
        <v>75</v>
      </c>
      <c r="H393">
        <v>6</v>
      </c>
      <c r="I393">
        <v>181.17</v>
      </c>
      <c r="J393">
        <v>0.1</v>
      </c>
      <c r="K393">
        <v>183</v>
      </c>
      <c r="L393">
        <v>0.74</v>
      </c>
      <c r="M393">
        <v>4</v>
      </c>
      <c r="N393" s="1">
        <f t="shared" si="114"/>
        <v>4.9666666666666668</v>
      </c>
      <c r="O393" s="1">
        <f>N393*(1+Control_Panel!$B$2)</f>
        <v>4.9666666666666668</v>
      </c>
      <c r="P393" s="12">
        <f t="shared" si="115"/>
        <v>0.50335570469798663</v>
      </c>
      <c r="Q393" t="str" cm="1">
        <f t="array" ref="Q393">_xlfn.IFS(P393&lt;0.2,"Stable",P393&lt;=0.5,"Moderate",P393&gt;0.5,"Highly veriable")</f>
        <v>Highly veriable</v>
      </c>
      <c r="R393" s="1">
        <f t="shared" si="116"/>
        <v>183.71173070873834</v>
      </c>
      <c r="S393" s="1">
        <f t="shared" si="117"/>
        <v>194.67839737540501</v>
      </c>
      <c r="T393" s="1">
        <f t="shared" si="118"/>
        <v>804.32160262459502</v>
      </c>
      <c r="U393" t="str">
        <f t="shared" si="119"/>
        <v xml:space="preserve"> Safe</v>
      </c>
      <c r="V393">
        <f t="shared" si="120"/>
        <v>1788</v>
      </c>
      <c r="W393" s="9">
        <f t="shared" si="121"/>
        <v>323931.95999999996</v>
      </c>
      <c r="Y393">
        <f t="shared" si="122"/>
        <v>7.2625610032230352E-4</v>
      </c>
      <c r="Z393" s="12">
        <f t="shared" si="132"/>
        <v>0.948185993374981</v>
      </c>
      <c r="AA393" t="str">
        <f t="shared" si="123"/>
        <v>B</v>
      </c>
      <c r="AB393" t="str">
        <f t="shared" si="124"/>
        <v>Z</v>
      </c>
      <c r="AC393" t="str">
        <f t="shared" si="125"/>
        <v>BZ</v>
      </c>
      <c r="AD393" t="str">
        <f t="shared" si="126"/>
        <v>Risk Monitoring</v>
      </c>
      <c r="AE393" t="str">
        <f t="shared" si="127"/>
        <v>Weekly Risk Review</v>
      </c>
      <c r="AF393" t="str">
        <f t="shared" si="128"/>
        <v>Monitor Demand Variability</v>
      </c>
      <c r="AG393" t="str">
        <f t="shared" si="129"/>
        <v>Medium</v>
      </c>
      <c r="AH393">
        <f t="shared" si="130"/>
        <v>30</v>
      </c>
      <c r="AI393" t="str">
        <f t="shared" si="131"/>
        <v>Low</v>
      </c>
    </row>
    <row r="394" spans="1:35">
      <c r="A394" t="s">
        <v>314</v>
      </c>
      <c r="B394" t="s">
        <v>38</v>
      </c>
      <c r="C394" t="s">
        <v>22</v>
      </c>
      <c r="D394" t="s">
        <v>23</v>
      </c>
      <c r="E394">
        <v>349</v>
      </c>
      <c r="F394">
        <v>109</v>
      </c>
      <c r="G394">
        <v>54</v>
      </c>
      <c r="H394">
        <v>16</v>
      </c>
      <c r="I394">
        <v>246.02</v>
      </c>
      <c r="J394">
        <v>0.11</v>
      </c>
      <c r="K394">
        <v>512</v>
      </c>
      <c r="L394">
        <v>0.71</v>
      </c>
      <c r="M394">
        <v>2</v>
      </c>
      <c r="N394" s="1">
        <f t="shared" si="114"/>
        <v>3.6333333333333333</v>
      </c>
      <c r="O394" s="1">
        <f>N394*(1+Control_Panel!$B$2)</f>
        <v>3.6333333333333333</v>
      </c>
      <c r="P394" s="12">
        <f t="shared" si="115"/>
        <v>0.49541284403669728</v>
      </c>
      <c r="Q394" t="str" cm="1">
        <f t="array" ref="Q394">_xlfn.IFS(P394&lt;0.2,"Stable",P394&lt;=0.5,"Moderate",P394&gt;0.5,"Highly veriable")</f>
        <v>Moderate</v>
      </c>
      <c r="R394" s="1">
        <f t="shared" si="116"/>
        <v>216</v>
      </c>
      <c r="S394" s="1">
        <f t="shared" si="117"/>
        <v>235.63333333333333</v>
      </c>
      <c r="T394" s="1">
        <f t="shared" si="118"/>
        <v>113.36666666666667</v>
      </c>
      <c r="U394" t="str">
        <f t="shared" si="119"/>
        <v xml:space="preserve"> Risk</v>
      </c>
      <c r="V394">
        <f t="shared" si="120"/>
        <v>1308</v>
      </c>
      <c r="W394" s="9">
        <f t="shared" si="121"/>
        <v>321794.16000000003</v>
      </c>
      <c r="Y394">
        <f t="shared" si="122"/>
        <v>7.2146314845898945E-4</v>
      </c>
      <c r="Z394" s="12">
        <f t="shared" si="132"/>
        <v>0.94890745652344</v>
      </c>
      <c r="AA394" t="str">
        <f t="shared" si="123"/>
        <v>B</v>
      </c>
      <c r="AB394" t="str">
        <f t="shared" si="124"/>
        <v>Y</v>
      </c>
      <c r="AC394" t="str">
        <f t="shared" si="125"/>
        <v>BY</v>
      </c>
      <c r="AD394" t="str">
        <f t="shared" si="126"/>
        <v>Periodic Review</v>
      </c>
      <c r="AE394" t="str">
        <f t="shared" si="127"/>
        <v>Bi-Weekly</v>
      </c>
      <c r="AF394" t="str">
        <f t="shared" si="128"/>
        <v>Periodic Review</v>
      </c>
      <c r="AG394" t="str">
        <f t="shared" si="129"/>
        <v>Low</v>
      </c>
      <c r="AH394">
        <f t="shared" si="130"/>
        <v>30</v>
      </c>
      <c r="AI394" t="str">
        <f t="shared" si="131"/>
        <v>Low</v>
      </c>
    </row>
    <row r="395" spans="1:35">
      <c r="A395" t="s">
        <v>192</v>
      </c>
      <c r="B395" t="s">
        <v>40</v>
      </c>
      <c r="C395" t="s">
        <v>15</v>
      </c>
      <c r="D395" t="s">
        <v>16</v>
      </c>
      <c r="E395">
        <v>153</v>
      </c>
      <c r="F395">
        <v>373</v>
      </c>
      <c r="G395">
        <v>26</v>
      </c>
      <c r="H395">
        <v>24</v>
      </c>
      <c r="I395">
        <v>71.489999999999995</v>
      </c>
      <c r="J395">
        <v>0.11</v>
      </c>
      <c r="K395">
        <v>263</v>
      </c>
      <c r="L395">
        <v>0.87</v>
      </c>
      <c r="M395">
        <v>3</v>
      </c>
      <c r="N395" s="1">
        <f t="shared" si="114"/>
        <v>12.433333333333334</v>
      </c>
      <c r="O395" s="1">
        <f>N395*(1+Control_Panel!$B$2)</f>
        <v>12.433333333333334</v>
      </c>
      <c r="P395" s="12">
        <f t="shared" si="115"/>
        <v>6.9705093833780166E-2</v>
      </c>
      <c r="Q395" t="str" cm="1">
        <f t="array" ref="Q395">_xlfn.IFS(P395&lt;0.2,"Stable",P395&lt;=0.5,"Moderate",P395&gt;0.5,"Highly veriable")</f>
        <v>Stable</v>
      </c>
      <c r="R395" s="1">
        <f t="shared" si="116"/>
        <v>127.37346662472525</v>
      </c>
      <c r="S395" s="1">
        <f t="shared" si="117"/>
        <v>163.8067999580586</v>
      </c>
      <c r="T395" s="1">
        <f t="shared" si="118"/>
        <v>-10.806799958058605</v>
      </c>
      <c r="U395" t="str">
        <f t="shared" si="119"/>
        <v xml:space="preserve"> Need to Order</v>
      </c>
      <c r="V395">
        <f t="shared" si="120"/>
        <v>4476</v>
      </c>
      <c r="W395" s="9">
        <f t="shared" si="121"/>
        <v>319989.24</v>
      </c>
      <c r="Y395">
        <f t="shared" si="122"/>
        <v>7.1741651421952212E-4</v>
      </c>
      <c r="Z395" s="12">
        <f t="shared" si="132"/>
        <v>0.94962487303765952</v>
      </c>
      <c r="AA395" t="str">
        <f t="shared" si="123"/>
        <v>B</v>
      </c>
      <c r="AB395" t="str">
        <f t="shared" si="124"/>
        <v>X</v>
      </c>
      <c r="AC395" t="str">
        <f t="shared" si="125"/>
        <v>BX</v>
      </c>
      <c r="AD395" t="str">
        <f t="shared" si="126"/>
        <v>Standard Control</v>
      </c>
      <c r="AE395" t="str">
        <f t="shared" si="127"/>
        <v>Weekly</v>
      </c>
      <c r="AF395" t="str">
        <f t="shared" si="128"/>
        <v>Standard Replenishment</v>
      </c>
      <c r="AG395" t="str">
        <f t="shared" si="129"/>
        <v>Low</v>
      </c>
      <c r="AH395">
        <f t="shared" si="130"/>
        <v>30</v>
      </c>
      <c r="AI395" t="str">
        <f t="shared" si="131"/>
        <v>Low</v>
      </c>
    </row>
    <row r="396" spans="1:35">
      <c r="A396" t="s">
        <v>74</v>
      </c>
      <c r="B396" t="s">
        <v>36</v>
      </c>
      <c r="C396" t="s">
        <v>22</v>
      </c>
      <c r="D396" t="s">
        <v>19</v>
      </c>
      <c r="E396">
        <v>790</v>
      </c>
      <c r="F396">
        <v>379</v>
      </c>
      <c r="G396">
        <v>82</v>
      </c>
      <c r="H396">
        <v>21</v>
      </c>
      <c r="I396">
        <v>70.33</v>
      </c>
      <c r="J396">
        <v>0.17</v>
      </c>
      <c r="K396">
        <v>770</v>
      </c>
      <c r="L396">
        <v>0.92</v>
      </c>
      <c r="M396">
        <v>1</v>
      </c>
      <c r="N396" s="1">
        <f t="shared" si="114"/>
        <v>12.633333333333333</v>
      </c>
      <c r="O396" s="1">
        <f>N396*(1+Control_Panel!$B$2)</f>
        <v>12.633333333333333</v>
      </c>
      <c r="P396" s="12">
        <f t="shared" si="115"/>
        <v>0.21635883905013192</v>
      </c>
      <c r="Q396" t="str" cm="1">
        <f t="array" ref="Q396">_xlfn.IFS(P396&lt;0.2,"Stable",P396&lt;=0.5,"Moderate",P396&gt;0.5,"Highly veriable")</f>
        <v>Moderate</v>
      </c>
      <c r="R396" s="1">
        <f t="shared" si="116"/>
        <v>375.77120698637884</v>
      </c>
      <c r="S396" s="1">
        <f t="shared" si="117"/>
        <v>409.40454031971217</v>
      </c>
      <c r="T396" s="1">
        <f t="shared" si="118"/>
        <v>380.59545968028783</v>
      </c>
      <c r="U396" t="str">
        <f t="shared" si="119"/>
        <v xml:space="preserve"> Safe</v>
      </c>
      <c r="V396">
        <f t="shared" si="120"/>
        <v>4548</v>
      </c>
      <c r="W396" s="9">
        <f t="shared" si="121"/>
        <v>319860.83999999997</v>
      </c>
      <c r="Y396">
        <f t="shared" si="122"/>
        <v>7.1712864116346003E-4</v>
      </c>
      <c r="Z396" s="12">
        <f t="shared" si="132"/>
        <v>0.95034200167882299</v>
      </c>
      <c r="AA396" t="str">
        <f t="shared" si="123"/>
        <v>C</v>
      </c>
      <c r="AB396" t="str">
        <f t="shared" si="124"/>
        <v>Y</v>
      </c>
      <c r="AC396" t="str">
        <f t="shared" si="125"/>
        <v>CY</v>
      </c>
      <c r="AD396" t="str">
        <f t="shared" si="126"/>
        <v>Low-Priority Monitoring</v>
      </c>
      <c r="AE396" t="str">
        <f t="shared" si="127"/>
        <v>Monthly Review</v>
      </c>
      <c r="AF396" t="str">
        <f t="shared" si="128"/>
        <v>Low Priority Monitoring</v>
      </c>
      <c r="AG396" t="str">
        <f t="shared" si="129"/>
        <v>Low</v>
      </c>
      <c r="AH396">
        <f t="shared" si="130"/>
        <v>30</v>
      </c>
      <c r="AI396" t="str">
        <f t="shared" si="131"/>
        <v>Low</v>
      </c>
    </row>
    <row r="397" spans="1:35">
      <c r="A397" t="s">
        <v>59</v>
      </c>
      <c r="B397" t="s">
        <v>34</v>
      </c>
      <c r="C397" t="s">
        <v>22</v>
      </c>
      <c r="D397" t="s">
        <v>41</v>
      </c>
      <c r="E397">
        <v>864</v>
      </c>
      <c r="F397">
        <v>418</v>
      </c>
      <c r="G397">
        <v>97</v>
      </c>
      <c r="H397">
        <v>1</v>
      </c>
      <c r="I397">
        <v>63.54</v>
      </c>
      <c r="J397">
        <v>0.08</v>
      </c>
      <c r="K397">
        <v>369</v>
      </c>
      <c r="L397">
        <v>0.92</v>
      </c>
      <c r="M397">
        <v>7</v>
      </c>
      <c r="N397" s="1">
        <f t="shared" si="114"/>
        <v>13.933333333333334</v>
      </c>
      <c r="O397" s="1">
        <f>N397*(1+Control_Panel!$B$2)</f>
        <v>13.933333333333334</v>
      </c>
      <c r="P397" s="12">
        <f t="shared" si="115"/>
        <v>0.23205741626794257</v>
      </c>
      <c r="Q397" t="str" cm="1">
        <f t="array" ref="Q397">_xlfn.IFS(P397&lt;0.2,"Stable",P397&lt;=0.5,"Moderate",P397&gt;0.5,"Highly veriable")</f>
        <v>Moderate</v>
      </c>
      <c r="R397" s="1">
        <f t="shared" si="116"/>
        <v>97</v>
      </c>
      <c r="S397" s="1">
        <f t="shared" si="117"/>
        <v>111.93333333333334</v>
      </c>
      <c r="T397" s="1">
        <f t="shared" si="118"/>
        <v>752.06666666666661</v>
      </c>
      <c r="U397" t="str">
        <f t="shared" si="119"/>
        <v xml:space="preserve"> Safe</v>
      </c>
      <c r="V397">
        <f t="shared" si="120"/>
        <v>5016</v>
      </c>
      <c r="W397" s="9">
        <f t="shared" si="121"/>
        <v>318716.64</v>
      </c>
      <c r="Y397">
        <f t="shared" si="122"/>
        <v>7.145633424816357E-4</v>
      </c>
      <c r="Z397" s="12">
        <f t="shared" si="132"/>
        <v>0.95105656502130465</v>
      </c>
      <c r="AA397" t="str">
        <f t="shared" si="123"/>
        <v>C</v>
      </c>
      <c r="AB397" t="str">
        <f t="shared" si="124"/>
        <v>Y</v>
      </c>
      <c r="AC397" t="str">
        <f t="shared" si="125"/>
        <v>CY</v>
      </c>
      <c r="AD397" t="str">
        <f t="shared" si="126"/>
        <v>Low-Priority Monitoring</v>
      </c>
      <c r="AE397" t="str">
        <f t="shared" si="127"/>
        <v>Monthly Review</v>
      </c>
      <c r="AF397" t="str">
        <f t="shared" si="128"/>
        <v>Low Priority Monitoring</v>
      </c>
      <c r="AG397" t="str">
        <f t="shared" si="129"/>
        <v>Low</v>
      </c>
      <c r="AH397">
        <f t="shared" si="130"/>
        <v>40</v>
      </c>
      <c r="AI397" t="str">
        <f t="shared" si="131"/>
        <v>Low</v>
      </c>
    </row>
    <row r="398" spans="1:35">
      <c r="A398" t="s">
        <v>51</v>
      </c>
      <c r="B398" t="s">
        <v>34</v>
      </c>
      <c r="C398" t="s">
        <v>22</v>
      </c>
      <c r="D398" t="s">
        <v>41</v>
      </c>
      <c r="E398">
        <v>775</v>
      </c>
      <c r="F398">
        <v>128</v>
      </c>
      <c r="G398">
        <v>36</v>
      </c>
      <c r="H398">
        <v>23</v>
      </c>
      <c r="I398">
        <v>205.53</v>
      </c>
      <c r="J398">
        <v>0.15</v>
      </c>
      <c r="K398">
        <v>447</v>
      </c>
      <c r="L398">
        <v>0.79</v>
      </c>
      <c r="M398">
        <v>8</v>
      </c>
      <c r="N398" s="1">
        <f t="shared" si="114"/>
        <v>4.2666666666666666</v>
      </c>
      <c r="O398" s="1">
        <f>N398*(1+Control_Panel!$B$2)</f>
        <v>4.2666666666666666</v>
      </c>
      <c r="P398" s="12">
        <f t="shared" si="115"/>
        <v>0.28125</v>
      </c>
      <c r="Q398" t="str" cm="1">
        <f t="array" ref="Q398">_xlfn.IFS(P398&lt;0.2,"Stable",P398&lt;=0.5,"Moderate",P398&gt;0.5,"Highly veriable")</f>
        <v>Moderate</v>
      </c>
      <c r="R398" s="1">
        <f t="shared" si="116"/>
        <v>172.6499348392579</v>
      </c>
      <c r="S398" s="1">
        <f t="shared" si="117"/>
        <v>199.91660150592458</v>
      </c>
      <c r="T398" s="1">
        <f t="shared" si="118"/>
        <v>575.08339849407548</v>
      </c>
      <c r="U398" t="str">
        <f t="shared" si="119"/>
        <v xml:space="preserve"> Safe</v>
      </c>
      <c r="V398">
        <f t="shared" si="120"/>
        <v>1536</v>
      </c>
      <c r="W398" s="9">
        <f t="shared" si="121"/>
        <v>315694.08000000002</v>
      </c>
      <c r="Y398">
        <f t="shared" si="122"/>
        <v>7.0778675693388619E-4</v>
      </c>
      <c r="Z398" s="12">
        <f t="shared" si="132"/>
        <v>0.95176435177823848</v>
      </c>
      <c r="AA398" t="str">
        <f t="shared" si="123"/>
        <v>C</v>
      </c>
      <c r="AB398" t="str">
        <f t="shared" si="124"/>
        <v>Y</v>
      </c>
      <c r="AC398" t="str">
        <f t="shared" si="125"/>
        <v>CY</v>
      </c>
      <c r="AD398" t="str">
        <f t="shared" si="126"/>
        <v>Low-Priority Monitoring</v>
      </c>
      <c r="AE398" t="str">
        <f t="shared" si="127"/>
        <v>Monthly Review</v>
      </c>
      <c r="AF398" t="str">
        <f t="shared" si="128"/>
        <v>Low Priority Monitoring</v>
      </c>
      <c r="AG398" t="str">
        <f t="shared" si="129"/>
        <v>Low</v>
      </c>
      <c r="AH398">
        <f t="shared" si="130"/>
        <v>50</v>
      </c>
      <c r="AI398" t="str">
        <f t="shared" si="131"/>
        <v>Medium</v>
      </c>
    </row>
    <row r="399" spans="1:35">
      <c r="A399" t="s">
        <v>60</v>
      </c>
      <c r="B399" t="s">
        <v>36</v>
      </c>
      <c r="C399" t="s">
        <v>22</v>
      </c>
      <c r="D399" t="s">
        <v>41</v>
      </c>
      <c r="E399">
        <v>872</v>
      </c>
      <c r="F399">
        <v>209</v>
      </c>
      <c r="G399">
        <v>9</v>
      </c>
      <c r="H399">
        <v>2</v>
      </c>
      <c r="I399">
        <v>124.49</v>
      </c>
      <c r="J399">
        <v>0.25</v>
      </c>
      <c r="K399">
        <v>645</v>
      </c>
      <c r="L399">
        <v>0.86</v>
      </c>
      <c r="M399">
        <v>6</v>
      </c>
      <c r="N399" s="1">
        <f t="shared" si="114"/>
        <v>6.9666666666666668</v>
      </c>
      <c r="O399" s="1">
        <f>N399*(1+Control_Panel!$B$2)</f>
        <v>6.9666666666666668</v>
      </c>
      <c r="P399" s="12">
        <f t="shared" si="115"/>
        <v>4.3062200956937802E-2</v>
      </c>
      <c r="Q399" t="str" cm="1">
        <f t="array" ref="Q399">_xlfn.IFS(P399&lt;0.2,"Stable",P399&lt;=0.5,"Moderate",P399&gt;0.5,"Highly veriable")</f>
        <v>Stable</v>
      </c>
      <c r="R399" s="1">
        <f t="shared" si="116"/>
        <v>12.727922061357857</v>
      </c>
      <c r="S399" s="1">
        <f t="shared" si="117"/>
        <v>21.694588728024524</v>
      </c>
      <c r="T399" s="1">
        <f t="shared" si="118"/>
        <v>850.30541127197546</v>
      </c>
      <c r="U399" t="str">
        <f t="shared" si="119"/>
        <v xml:space="preserve"> Safe</v>
      </c>
      <c r="V399">
        <f t="shared" si="120"/>
        <v>2508</v>
      </c>
      <c r="W399" s="9">
        <f t="shared" si="121"/>
        <v>312220.92</v>
      </c>
      <c r="Y399">
        <f t="shared" si="122"/>
        <v>6.9999992528752616E-4</v>
      </c>
      <c r="Z399" s="12">
        <f t="shared" si="132"/>
        <v>0.95246435170352606</v>
      </c>
      <c r="AA399" t="str">
        <f t="shared" si="123"/>
        <v>C</v>
      </c>
      <c r="AB399" t="str">
        <f t="shared" si="124"/>
        <v>X</v>
      </c>
      <c r="AC399" t="str">
        <f t="shared" si="125"/>
        <v>CX</v>
      </c>
      <c r="AD399" t="str">
        <f t="shared" si="126"/>
        <v>Simplified Bulk Control</v>
      </c>
      <c r="AE399" t="str">
        <f t="shared" si="127"/>
        <v>Monthly</v>
      </c>
      <c r="AF399" t="str">
        <f t="shared" si="128"/>
        <v>Bulk Ordering</v>
      </c>
      <c r="AG399" t="str">
        <f t="shared" si="129"/>
        <v>Low</v>
      </c>
      <c r="AH399">
        <f t="shared" si="130"/>
        <v>40</v>
      </c>
      <c r="AI399" t="str">
        <f t="shared" si="131"/>
        <v>Low</v>
      </c>
    </row>
    <row r="400" spans="1:35">
      <c r="A400" t="s">
        <v>325</v>
      </c>
      <c r="B400" t="s">
        <v>38</v>
      </c>
      <c r="C400" t="s">
        <v>22</v>
      </c>
      <c r="D400" t="s">
        <v>23</v>
      </c>
      <c r="E400">
        <v>35</v>
      </c>
      <c r="F400">
        <v>83</v>
      </c>
      <c r="G400">
        <v>96</v>
      </c>
      <c r="H400">
        <v>11</v>
      </c>
      <c r="I400">
        <v>312.33999999999997</v>
      </c>
      <c r="J400">
        <v>0.21</v>
      </c>
      <c r="K400">
        <v>158</v>
      </c>
      <c r="L400">
        <v>0.85</v>
      </c>
      <c r="M400">
        <v>6</v>
      </c>
      <c r="N400" s="1">
        <f t="shared" si="114"/>
        <v>2.7666666666666666</v>
      </c>
      <c r="O400" s="1">
        <f>N400*(1+Control_Panel!$B$2)</f>
        <v>2.7666666666666666</v>
      </c>
      <c r="P400" s="12">
        <f t="shared" si="115"/>
        <v>1.1566265060240963</v>
      </c>
      <c r="Q400" t="str" cm="1">
        <f t="array" ref="Q400">_xlfn.IFS(P400&lt;0.2,"Stable",P400&lt;=0.5,"Moderate",P400&gt;0.5,"Highly veriable")</f>
        <v>Highly veriable</v>
      </c>
      <c r="R400" s="1">
        <f t="shared" si="116"/>
        <v>318.39597987411838</v>
      </c>
      <c r="S400" s="1">
        <f t="shared" si="117"/>
        <v>332.16264654078503</v>
      </c>
      <c r="T400" s="1">
        <f t="shared" si="118"/>
        <v>-297.16264654078503</v>
      </c>
      <c r="U400" t="str">
        <f t="shared" si="119"/>
        <v xml:space="preserve"> Need to Order</v>
      </c>
      <c r="V400">
        <f t="shared" si="120"/>
        <v>996</v>
      </c>
      <c r="W400" s="9">
        <f t="shared" si="121"/>
        <v>311090.63999999996</v>
      </c>
      <c r="Y400">
        <f t="shared" si="122"/>
        <v>6.9746583527346181E-4</v>
      </c>
      <c r="Z400" s="12">
        <f t="shared" si="132"/>
        <v>0.95316181753879947</v>
      </c>
      <c r="AA400" t="str">
        <f t="shared" si="123"/>
        <v>C</v>
      </c>
      <c r="AB400" t="str">
        <f t="shared" si="124"/>
        <v>Z</v>
      </c>
      <c r="AC400" t="str">
        <f t="shared" si="125"/>
        <v>CZ</v>
      </c>
      <c r="AD400" t="str">
        <f t="shared" si="126"/>
        <v>Minimal Control</v>
      </c>
      <c r="AE400" t="str">
        <f t="shared" si="127"/>
        <v>Quarterly</v>
      </c>
      <c r="AF400" t="str">
        <f t="shared" si="128"/>
        <v>Reduce Inventory Exposure</v>
      </c>
      <c r="AG400" t="str">
        <f t="shared" si="129"/>
        <v>Low</v>
      </c>
      <c r="AH400">
        <f t="shared" si="130"/>
        <v>40</v>
      </c>
      <c r="AI400" t="str">
        <f t="shared" si="131"/>
        <v>Low</v>
      </c>
    </row>
    <row r="401" spans="1:35">
      <c r="A401" t="s">
        <v>321</v>
      </c>
      <c r="B401" t="s">
        <v>38</v>
      </c>
      <c r="C401" t="s">
        <v>15</v>
      </c>
      <c r="D401" t="s">
        <v>41</v>
      </c>
      <c r="E401">
        <v>422</v>
      </c>
      <c r="F401">
        <v>73</v>
      </c>
      <c r="G401">
        <v>30</v>
      </c>
      <c r="H401">
        <v>22</v>
      </c>
      <c r="I401">
        <v>351.5</v>
      </c>
      <c r="J401">
        <v>0.24</v>
      </c>
      <c r="K401">
        <v>354</v>
      </c>
      <c r="L401">
        <v>0.75</v>
      </c>
      <c r="M401">
        <v>6</v>
      </c>
      <c r="N401" s="1">
        <f t="shared" si="114"/>
        <v>2.4333333333333331</v>
      </c>
      <c r="O401" s="1">
        <f>N401*(1+Control_Panel!$B$2)</f>
        <v>2.4333333333333331</v>
      </c>
      <c r="P401" s="12">
        <f t="shared" si="115"/>
        <v>0.41095890410958902</v>
      </c>
      <c r="Q401" t="str" cm="1">
        <f t="array" ref="Q401">_xlfn.IFS(P401&lt;0.2,"Stable",P401&lt;=0.5,"Moderate",P401&gt;0.5,"Highly veriable")</f>
        <v>Moderate</v>
      </c>
      <c r="R401" s="1">
        <f t="shared" si="116"/>
        <v>140.7124727947029</v>
      </c>
      <c r="S401" s="1">
        <f t="shared" si="117"/>
        <v>165.14580612803624</v>
      </c>
      <c r="T401" s="1">
        <f t="shared" si="118"/>
        <v>256.85419387196373</v>
      </c>
      <c r="U401" t="str">
        <f t="shared" si="119"/>
        <v xml:space="preserve"> Safe</v>
      </c>
      <c r="V401">
        <f t="shared" si="120"/>
        <v>876</v>
      </c>
      <c r="W401" s="9">
        <f t="shared" si="121"/>
        <v>307914</v>
      </c>
      <c r="Y401">
        <f t="shared" si="122"/>
        <v>6.9034380205843784E-4</v>
      </c>
      <c r="Z401" s="12">
        <f t="shared" si="132"/>
        <v>0.95385216134085793</v>
      </c>
      <c r="AA401" t="str">
        <f t="shared" si="123"/>
        <v>C</v>
      </c>
      <c r="AB401" t="str">
        <f t="shared" si="124"/>
        <v>Y</v>
      </c>
      <c r="AC401" t="str">
        <f t="shared" si="125"/>
        <v>CY</v>
      </c>
      <c r="AD401" t="str">
        <f t="shared" si="126"/>
        <v>Low-Priority Monitoring</v>
      </c>
      <c r="AE401" t="str">
        <f t="shared" si="127"/>
        <v>Monthly Review</v>
      </c>
      <c r="AF401" t="str">
        <f t="shared" si="128"/>
        <v>Low Priority Monitoring</v>
      </c>
      <c r="AG401" t="str">
        <f t="shared" si="129"/>
        <v>Low</v>
      </c>
      <c r="AH401">
        <f t="shared" si="130"/>
        <v>40</v>
      </c>
      <c r="AI401" t="str">
        <f t="shared" si="131"/>
        <v>Low</v>
      </c>
    </row>
    <row r="402" spans="1:35">
      <c r="A402" t="s">
        <v>49</v>
      </c>
      <c r="B402" t="s">
        <v>36</v>
      </c>
      <c r="C402" t="s">
        <v>15</v>
      </c>
      <c r="D402" t="s">
        <v>16</v>
      </c>
      <c r="E402">
        <v>937</v>
      </c>
      <c r="F402">
        <v>78</v>
      </c>
      <c r="G402">
        <v>69</v>
      </c>
      <c r="H402">
        <v>28</v>
      </c>
      <c r="I402">
        <v>328.49</v>
      </c>
      <c r="J402">
        <v>0.17</v>
      </c>
      <c r="K402">
        <v>781</v>
      </c>
      <c r="L402">
        <v>0.71</v>
      </c>
      <c r="M402">
        <v>3</v>
      </c>
      <c r="N402" s="1">
        <f t="shared" si="114"/>
        <v>2.6</v>
      </c>
      <c r="O402" s="1">
        <f>N402*(1+Control_Panel!$B$2)</f>
        <v>2.6</v>
      </c>
      <c r="P402" s="12">
        <f t="shared" si="115"/>
        <v>0.88461538461538458</v>
      </c>
      <c r="Q402" t="str" cm="1">
        <f t="array" ref="Q402">_xlfn.IFS(P402&lt;0.2,"Stable",P402&lt;=0.5,"Moderate",P402&gt;0.5,"Highly veriable")</f>
        <v>Highly veriable</v>
      </c>
      <c r="R402" s="1">
        <f t="shared" si="116"/>
        <v>365.1136809269135</v>
      </c>
      <c r="S402" s="1">
        <f t="shared" si="117"/>
        <v>395.71368092691353</v>
      </c>
      <c r="T402" s="1">
        <f t="shared" si="118"/>
        <v>541.28631907308647</v>
      </c>
      <c r="U402" t="str">
        <f t="shared" si="119"/>
        <v xml:space="preserve"> Safe</v>
      </c>
      <c r="V402">
        <f t="shared" si="120"/>
        <v>936</v>
      </c>
      <c r="W402" s="9">
        <f t="shared" si="121"/>
        <v>307466.64</v>
      </c>
      <c r="Y402">
        <f t="shared" si="122"/>
        <v>6.8934082004628878E-4</v>
      </c>
      <c r="Z402" s="12">
        <f t="shared" si="132"/>
        <v>0.95454150216090417</v>
      </c>
      <c r="AA402" t="str">
        <f t="shared" si="123"/>
        <v>C</v>
      </c>
      <c r="AB402" t="str">
        <f t="shared" si="124"/>
        <v>Z</v>
      </c>
      <c r="AC402" t="str">
        <f t="shared" si="125"/>
        <v>CZ</v>
      </c>
      <c r="AD402" t="str">
        <f t="shared" si="126"/>
        <v>Minimal Control</v>
      </c>
      <c r="AE402" t="str">
        <f t="shared" si="127"/>
        <v>Quarterly</v>
      </c>
      <c r="AF402" t="str">
        <f t="shared" si="128"/>
        <v>Reduce Inventory Exposure</v>
      </c>
      <c r="AG402" t="str">
        <f t="shared" si="129"/>
        <v>Low</v>
      </c>
      <c r="AH402">
        <f t="shared" si="130"/>
        <v>30</v>
      </c>
      <c r="AI402" t="str">
        <f t="shared" si="131"/>
        <v>Low</v>
      </c>
    </row>
    <row r="403" spans="1:35">
      <c r="A403" t="s">
        <v>458</v>
      </c>
      <c r="B403" t="s">
        <v>14</v>
      </c>
      <c r="C403" t="s">
        <v>15</v>
      </c>
      <c r="D403" t="s">
        <v>25</v>
      </c>
      <c r="E403">
        <v>364</v>
      </c>
      <c r="F403">
        <v>445</v>
      </c>
      <c r="G403">
        <v>5</v>
      </c>
      <c r="H403">
        <v>10</v>
      </c>
      <c r="I403">
        <v>57.2</v>
      </c>
      <c r="J403">
        <v>0.24</v>
      </c>
      <c r="K403">
        <v>134</v>
      </c>
      <c r="L403">
        <v>0.8</v>
      </c>
      <c r="M403">
        <v>5</v>
      </c>
      <c r="N403" s="1">
        <f t="shared" si="114"/>
        <v>14.833333333333334</v>
      </c>
      <c r="O403" s="1">
        <f>N403*(1+Control_Panel!$B$2)</f>
        <v>14.833333333333334</v>
      </c>
      <c r="P403" s="12">
        <f t="shared" si="115"/>
        <v>1.1235955056179775E-2</v>
      </c>
      <c r="Q403" t="str" cm="1">
        <f t="array" ref="Q403">_xlfn.IFS(P403&lt;0.2,"Stable",P403&lt;=0.5,"Moderate",P403&gt;0.5,"Highly veriable")</f>
        <v>Stable</v>
      </c>
      <c r="R403" s="1">
        <f t="shared" si="116"/>
        <v>15.811388300841898</v>
      </c>
      <c r="S403" s="1">
        <f t="shared" si="117"/>
        <v>40.644721634175234</v>
      </c>
      <c r="T403" s="1">
        <f t="shared" si="118"/>
        <v>323.35527836582474</v>
      </c>
      <c r="U403" t="str">
        <f t="shared" si="119"/>
        <v xml:space="preserve"> Safe</v>
      </c>
      <c r="V403">
        <f t="shared" si="120"/>
        <v>5340</v>
      </c>
      <c r="W403" s="9">
        <f t="shared" si="121"/>
        <v>305448</v>
      </c>
      <c r="Y403">
        <f t="shared" si="122"/>
        <v>6.8481502514060972E-4</v>
      </c>
      <c r="Z403" s="12">
        <f t="shared" si="132"/>
        <v>0.95522631718604478</v>
      </c>
      <c r="AA403" t="str">
        <f t="shared" si="123"/>
        <v>C</v>
      </c>
      <c r="AB403" t="str">
        <f t="shared" si="124"/>
        <v>X</v>
      </c>
      <c r="AC403" t="str">
        <f t="shared" si="125"/>
        <v>CX</v>
      </c>
      <c r="AD403" t="str">
        <f t="shared" si="126"/>
        <v>Simplified Bulk Control</v>
      </c>
      <c r="AE403" t="str">
        <f t="shared" si="127"/>
        <v>Monthly</v>
      </c>
      <c r="AF403" t="str">
        <f t="shared" si="128"/>
        <v>Bulk Ordering</v>
      </c>
      <c r="AG403" t="str">
        <f t="shared" si="129"/>
        <v>Low</v>
      </c>
      <c r="AH403">
        <f t="shared" si="130"/>
        <v>40</v>
      </c>
      <c r="AI403" t="str">
        <f t="shared" si="131"/>
        <v>Low</v>
      </c>
    </row>
    <row r="404" spans="1:35">
      <c r="A404" t="s">
        <v>411</v>
      </c>
      <c r="B404" t="s">
        <v>14</v>
      </c>
      <c r="C404" t="s">
        <v>22</v>
      </c>
      <c r="D404" t="s">
        <v>25</v>
      </c>
      <c r="E404">
        <v>253</v>
      </c>
      <c r="F404">
        <v>409</v>
      </c>
      <c r="G404">
        <v>87</v>
      </c>
      <c r="H404">
        <v>7</v>
      </c>
      <c r="I404">
        <v>62.16</v>
      </c>
      <c r="J404">
        <v>0.2</v>
      </c>
      <c r="K404">
        <v>740</v>
      </c>
      <c r="L404">
        <v>0.76</v>
      </c>
      <c r="M404">
        <v>8</v>
      </c>
      <c r="N404" s="1">
        <f t="shared" si="114"/>
        <v>13.633333333333333</v>
      </c>
      <c r="O404" s="1">
        <f>N404*(1+Control_Panel!$B$2)</f>
        <v>13.633333333333333</v>
      </c>
      <c r="P404" s="12">
        <f t="shared" si="115"/>
        <v>0.21271393643031786</v>
      </c>
      <c r="Q404" t="str" cm="1">
        <f t="array" ref="Q404">_xlfn.IFS(P404&lt;0.2,"Stable",P404&lt;=0.5,"Moderate",P404&gt;0.5,"Highly veriable")</f>
        <v>Moderate</v>
      </c>
      <c r="R404" s="1">
        <f t="shared" si="116"/>
        <v>230.18036406261939</v>
      </c>
      <c r="S404" s="1">
        <f t="shared" si="117"/>
        <v>250.81369739595272</v>
      </c>
      <c r="T404" s="1">
        <f t="shared" si="118"/>
        <v>2.1863026040472846</v>
      </c>
      <c r="U404" t="str">
        <f t="shared" si="119"/>
        <v xml:space="preserve"> Risk</v>
      </c>
      <c r="V404">
        <f t="shared" si="120"/>
        <v>4908</v>
      </c>
      <c r="W404" s="9">
        <f t="shared" si="121"/>
        <v>305081.27999999997</v>
      </c>
      <c r="Y404">
        <f t="shared" si="122"/>
        <v>6.8399283816927717E-4</v>
      </c>
      <c r="Z404" s="12">
        <f t="shared" si="132"/>
        <v>0.955910310024214</v>
      </c>
      <c r="AA404" t="str">
        <f t="shared" si="123"/>
        <v>C</v>
      </c>
      <c r="AB404" t="str">
        <f t="shared" si="124"/>
        <v>Y</v>
      </c>
      <c r="AC404" t="str">
        <f t="shared" si="125"/>
        <v>CY</v>
      </c>
      <c r="AD404" t="str">
        <f t="shared" si="126"/>
        <v>Low-Priority Monitoring</v>
      </c>
      <c r="AE404" t="str">
        <f t="shared" si="127"/>
        <v>Monthly Review</v>
      </c>
      <c r="AF404" t="str">
        <f t="shared" si="128"/>
        <v>Low Priority Monitoring</v>
      </c>
      <c r="AG404" t="str">
        <f t="shared" si="129"/>
        <v>Low</v>
      </c>
      <c r="AH404">
        <f t="shared" si="130"/>
        <v>50</v>
      </c>
      <c r="AI404" t="str">
        <f t="shared" si="131"/>
        <v>Medium</v>
      </c>
    </row>
    <row r="405" spans="1:35">
      <c r="A405" t="s">
        <v>408</v>
      </c>
      <c r="B405" t="s">
        <v>38</v>
      </c>
      <c r="C405" t="s">
        <v>15</v>
      </c>
      <c r="D405" t="s">
        <v>25</v>
      </c>
      <c r="E405">
        <v>27</v>
      </c>
      <c r="F405">
        <v>454</v>
      </c>
      <c r="G405">
        <v>83</v>
      </c>
      <c r="H405">
        <v>25</v>
      </c>
      <c r="I405">
        <v>55.91</v>
      </c>
      <c r="J405">
        <v>0.23</v>
      </c>
      <c r="K405">
        <v>594</v>
      </c>
      <c r="L405">
        <v>0.78</v>
      </c>
      <c r="M405">
        <v>6</v>
      </c>
      <c r="N405" s="1">
        <f t="shared" si="114"/>
        <v>15.133333333333333</v>
      </c>
      <c r="O405" s="1">
        <f>N405*(1+Control_Panel!$B$2)</f>
        <v>15.133333333333333</v>
      </c>
      <c r="P405" s="12">
        <f t="shared" si="115"/>
        <v>0.1828193832599119</v>
      </c>
      <c r="Q405" t="str" cm="1">
        <f t="array" ref="Q405">_xlfn.IFS(P405&lt;0.2,"Stable",P405&lt;=0.5,"Moderate",P405&gt;0.5,"Highly veriable")</f>
        <v>Stable</v>
      </c>
      <c r="R405" s="1">
        <f t="shared" si="116"/>
        <v>415</v>
      </c>
      <c r="S405" s="1">
        <f t="shared" si="117"/>
        <v>455.13333333333333</v>
      </c>
      <c r="T405" s="1">
        <f t="shared" si="118"/>
        <v>-428.13333333333333</v>
      </c>
      <c r="U405" t="str">
        <f t="shared" si="119"/>
        <v xml:space="preserve"> Need to Order</v>
      </c>
      <c r="V405">
        <f t="shared" si="120"/>
        <v>5448</v>
      </c>
      <c r="W405" s="9">
        <f t="shared" si="121"/>
        <v>304597.68</v>
      </c>
      <c r="Y405">
        <f t="shared" si="122"/>
        <v>6.8290860600485651E-4</v>
      </c>
      <c r="Z405" s="12">
        <f t="shared" si="132"/>
        <v>0.95659321863021884</v>
      </c>
      <c r="AA405" t="str">
        <f t="shared" si="123"/>
        <v>C</v>
      </c>
      <c r="AB405" t="str">
        <f t="shared" si="124"/>
        <v>X</v>
      </c>
      <c r="AC405" t="str">
        <f t="shared" si="125"/>
        <v>CX</v>
      </c>
      <c r="AD405" t="str">
        <f t="shared" si="126"/>
        <v>Simplified Bulk Control</v>
      </c>
      <c r="AE405" t="str">
        <f t="shared" si="127"/>
        <v>Monthly</v>
      </c>
      <c r="AF405" t="str">
        <f t="shared" si="128"/>
        <v>Bulk Ordering</v>
      </c>
      <c r="AG405" t="str">
        <f t="shared" si="129"/>
        <v>Low</v>
      </c>
      <c r="AH405">
        <f t="shared" si="130"/>
        <v>40</v>
      </c>
      <c r="AI405" t="str">
        <f t="shared" si="131"/>
        <v>Low</v>
      </c>
    </row>
    <row r="406" spans="1:35">
      <c r="A406" t="s">
        <v>163</v>
      </c>
      <c r="B406" t="s">
        <v>36</v>
      </c>
      <c r="C406" t="s">
        <v>22</v>
      </c>
      <c r="D406" t="s">
        <v>23</v>
      </c>
      <c r="E406">
        <v>948</v>
      </c>
      <c r="F406">
        <v>109</v>
      </c>
      <c r="G406">
        <v>47</v>
      </c>
      <c r="H406">
        <v>4</v>
      </c>
      <c r="I406">
        <v>232.87</v>
      </c>
      <c r="J406">
        <v>0.24</v>
      </c>
      <c r="K406">
        <v>871</v>
      </c>
      <c r="L406">
        <v>0.82</v>
      </c>
      <c r="M406">
        <v>6</v>
      </c>
      <c r="N406" s="1">
        <f t="shared" si="114"/>
        <v>3.6333333333333333</v>
      </c>
      <c r="O406" s="1">
        <f>N406*(1+Control_Panel!$B$2)</f>
        <v>3.6333333333333333</v>
      </c>
      <c r="P406" s="12">
        <f t="shared" si="115"/>
        <v>0.43119266055045874</v>
      </c>
      <c r="Q406" t="str" cm="1">
        <f t="array" ref="Q406">_xlfn.IFS(P406&lt;0.2,"Stable",P406&lt;=0.5,"Moderate",P406&gt;0.5,"Highly veriable")</f>
        <v>Moderate</v>
      </c>
      <c r="R406" s="1">
        <f t="shared" si="116"/>
        <v>94</v>
      </c>
      <c r="S406" s="1">
        <f t="shared" si="117"/>
        <v>101.63333333333333</v>
      </c>
      <c r="T406" s="1">
        <f t="shared" si="118"/>
        <v>846.36666666666667</v>
      </c>
      <c r="U406" t="str">
        <f t="shared" si="119"/>
        <v xml:space="preserve"> Safe</v>
      </c>
      <c r="V406">
        <f t="shared" si="120"/>
        <v>1308</v>
      </c>
      <c r="W406" s="9">
        <f t="shared" si="121"/>
        <v>304593.96000000002</v>
      </c>
      <c r="Y406">
        <f t="shared" si="122"/>
        <v>6.8290026575743793E-4</v>
      </c>
      <c r="Z406" s="12">
        <f t="shared" si="132"/>
        <v>0.9572761188959763</v>
      </c>
      <c r="AA406" t="str">
        <f t="shared" si="123"/>
        <v>C</v>
      </c>
      <c r="AB406" t="str">
        <f t="shared" si="124"/>
        <v>Y</v>
      </c>
      <c r="AC406" t="str">
        <f t="shared" si="125"/>
        <v>CY</v>
      </c>
      <c r="AD406" t="str">
        <f t="shared" si="126"/>
        <v>Low-Priority Monitoring</v>
      </c>
      <c r="AE406" t="str">
        <f t="shared" si="127"/>
        <v>Monthly Review</v>
      </c>
      <c r="AF406" t="str">
        <f t="shared" si="128"/>
        <v>Low Priority Monitoring</v>
      </c>
      <c r="AG406" t="str">
        <f t="shared" si="129"/>
        <v>Low</v>
      </c>
      <c r="AH406">
        <f t="shared" si="130"/>
        <v>40</v>
      </c>
      <c r="AI406" t="str">
        <f t="shared" si="131"/>
        <v>Low</v>
      </c>
    </row>
    <row r="407" spans="1:35">
      <c r="A407" t="s">
        <v>263</v>
      </c>
      <c r="B407" t="s">
        <v>29</v>
      </c>
      <c r="C407" t="s">
        <v>22</v>
      </c>
      <c r="D407" t="s">
        <v>23</v>
      </c>
      <c r="E407">
        <v>418</v>
      </c>
      <c r="F407">
        <v>68</v>
      </c>
      <c r="G407">
        <v>56</v>
      </c>
      <c r="H407">
        <v>2</v>
      </c>
      <c r="I407">
        <v>369.04</v>
      </c>
      <c r="J407">
        <v>0.11</v>
      </c>
      <c r="K407">
        <v>624</v>
      </c>
      <c r="L407">
        <v>0.76</v>
      </c>
      <c r="M407">
        <v>3</v>
      </c>
      <c r="N407" s="1">
        <f t="shared" si="114"/>
        <v>2.2666666666666666</v>
      </c>
      <c r="O407" s="1">
        <f>N407*(1+Control_Panel!$B$2)</f>
        <v>2.2666666666666666</v>
      </c>
      <c r="P407" s="12">
        <f t="shared" si="115"/>
        <v>0.82352941176470584</v>
      </c>
      <c r="Q407" t="str" cm="1">
        <f t="array" ref="Q407">_xlfn.IFS(P407&lt;0.2,"Stable",P407&lt;=0.5,"Moderate",P407&gt;0.5,"Highly veriable")</f>
        <v>Highly veriable</v>
      </c>
      <c r="R407" s="1">
        <f t="shared" si="116"/>
        <v>79.195959492893323</v>
      </c>
      <c r="S407" s="1">
        <f t="shared" si="117"/>
        <v>83.462626159559989</v>
      </c>
      <c r="T407" s="1">
        <f t="shared" si="118"/>
        <v>334.53737384044001</v>
      </c>
      <c r="U407" t="str">
        <f t="shared" si="119"/>
        <v xml:space="preserve"> Safe</v>
      </c>
      <c r="V407">
        <f t="shared" si="120"/>
        <v>816</v>
      </c>
      <c r="W407" s="9">
        <f t="shared" si="121"/>
        <v>301136.64000000001</v>
      </c>
      <c r="Y407">
        <f t="shared" si="122"/>
        <v>6.7514894742266688E-4</v>
      </c>
      <c r="Z407" s="12">
        <f t="shared" si="132"/>
        <v>0.95795126784339901</v>
      </c>
      <c r="AA407" t="str">
        <f t="shared" si="123"/>
        <v>C</v>
      </c>
      <c r="AB407" t="str">
        <f t="shared" si="124"/>
        <v>Z</v>
      </c>
      <c r="AC407" t="str">
        <f t="shared" si="125"/>
        <v>CZ</v>
      </c>
      <c r="AD407" t="str">
        <f t="shared" si="126"/>
        <v>Minimal Control</v>
      </c>
      <c r="AE407" t="str">
        <f t="shared" si="127"/>
        <v>Quarterly</v>
      </c>
      <c r="AF407" t="str">
        <f t="shared" si="128"/>
        <v>Reduce Inventory Exposure</v>
      </c>
      <c r="AG407" t="str">
        <f t="shared" si="129"/>
        <v>Low</v>
      </c>
      <c r="AH407">
        <f t="shared" si="130"/>
        <v>30</v>
      </c>
      <c r="AI407" t="str">
        <f t="shared" si="131"/>
        <v>Low</v>
      </c>
    </row>
    <row r="408" spans="1:35">
      <c r="A408" t="s">
        <v>374</v>
      </c>
      <c r="B408" t="s">
        <v>38</v>
      </c>
      <c r="C408" t="s">
        <v>15</v>
      </c>
      <c r="D408" t="s">
        <v>19</v>
      </c>
      <c r="E408">
        <v>394</v>
      </c>
      <c r="F408">
        <v>60</v>
      </c>
      <c r="G408">
        <v>53</v>
      </c>
      <c r="H408">
        <v>27</v>
      </c>
      <c r="I408">
        <v>414.93</v>
      </c>
      <c r="J408">
        <v>0.08</v>
      </c>
      <c r="K408">
        <v>389</v>
      </c>
      <c r="L408">
        <v>0.96</v>
      </c>
      <c r="M408">
        <v>1</v>
      </c>
      <c r="N408" s="1">
        <f t="shared" si="114"/>
        <v>2</v>
      </c>
      <c r="O408" s="1">
        <f>N408*(1+Control_Panel!$B$2)</f>
        <v>2</v>
      </c>
      <c r="P408" s="12">
        <f t="shared" si="115"/>
        <v>0.8833333333333333</v>
      </c>
      <c r="Q408" t="str" cm="1">
        <f t="array" ref="Q408">_xlfn.IFS(P408&lt;0.2,"Stable",P408&lt;=0.5,"Moderate",P408&gt;0.5,"Highly veriable")</f>
        <v>Highly veriable</v>
      </c>
      <c r="R408" s="1">
        <f t="shared" si="116"/>
        <v>275.3960784034515</v>
      </c>
      <c r="S408" s="1">
        <f t="shared" si="117"/>
        <v>304.3960784034515</v>
      </c>
      <c r="T408" s="1">
        <f t="shared" si="118"/>
        <v>89.603921596548503</v>
      </c>
      <c r="U408" t="str">
        <f t="shared" si="119"/>
        <v xml:space="preserve"> Risk</v>
      </c>
      <c r="V408">
        <f t="shared" si="120"/>
        <v>720</v>
      </c>
      <c r="W408" s="9">
        <f t="shared" si="121"/>
        <v>298749.59999999998</v>
      </c>
      <c r="Y408">
        <f t="shared" si="122"/>
        <v>6.69797198982305E-4</v>
      </c>
      <c r="Z408" s="12">
        <f t="shared" si="132"/>
        <v>0.95862106504238132</v>
      </c>
      <c r="AA408" t="str">
        <f t="shared" si="123"/>
        <v>C</v>
      </c>
      <c r="AB408" t="str">
        <f t="shared" si="124"/>
        <v>Z</v>
      </c>
      <c r="AC408" t="str">
        <f t="shared" si="125"/>
        <v>CZ</v>
      </c>
      <c r="AD408" t="str">
        <f t="shared" si="126"/>
        <v>Minimal Control</v>
      </c>
      <c r="AE408" t="str">
        <f t="shared" si="127"/>
        <v>Quarterly</v>
      </c>
      <c r="AF408" t="str">
        <f t="shared" si="128"/>
        <v>Reduce Inventory Exposure</v>
      </c>
      <c r="AG408" t="str">
        <f t="shared" si="129"/>
        <v>Low</v>
      </c>
      <c r="AH408">
        <f t="shared" si="130"/>
        <v>30</v>
      </c>
      <c r="AI408" t="str">
        <f t="shared" si="131"/>
        <v>Low</v>
      </c>
    </row>
    <row r="409" spans="1:35">
      <c r="A409" t="s">
        <v>395</v>
      </c>
      <c r="B409" t="s">
        <v>40</v>
      </c>
      <c r="C409" t="s">
        <v>15</v>
      </c>
      <c r="D409" t="s">
        <v>23</v>
      </c>
      <c r="E409">
        <v>829</v>
      </c>
      <c r="F409">
        <v>451</v>
      </c>
      <c r="G409">
        <v>47</v>
      </c>
      <c r="H409">
        <v>18</v>
      </c>
      <c r="I409">
        <v>53.98</v>
      </c>
      <c r="J409">
        <v>0.11</v>
      </c>
      <c r="K409">
        <v>733</v>
      </c>
      <c r="L409">
        <v>0.79</v>
      </c>
      <c r="M409">
        <v>6</v>
      </c>
      <c r="N409" s="1">
        <f t="shared" si="114"/>
        <v>15.033333333333333</v>
      </c>
      <c r="O409" s="1">
        <f>N409*(1+Control_Panel!$B$2)</f>
        <v>15.033333333333333</v>
      </c>
      <c r="P409" s="12">
        <f t="shared" si="115"/>
        <v>0.10421286031042129</v>
      </c>
      <c r="Q409" t="str" cm="1">
        <f t="array" ref="Q409">_xlfn.IFS(P409&lt;0.2,"Stable",P409&lt;=0.5,"Moderate",P409&gt;0.5,"Highly veriable")</f>
        <v>Stable</v>
      </c>
      <c r="R409" s="1">
        <f t="shared" si="116"/>
        <v>199.40411229460639</v>
      </c>
      <c r="S409" s="1">
        <f t="shared" si="117"/>
        <v>232.43744562793972</v>
      </c>
      <c r="T409" s="1">
        <f t="shared" si="118"/>
        <v>596.56255437206028</v>
      </c>
      <c r="U409" t="str">
        <f t="shared" si="119"/>
        <v xml:space="preserve"> Safe</v>
      </c>
      <c r="V409">
        <f t="shared" si="120"/>
        <v>5412</v>
      </c>
      <c r="W409" s="9">
        <f t="shared" si="121"/>
        <v>292139.76</v>
      </c>
      <c r="Y409">
        <f t="shared" si="122"/>
        <v>6.5497792452061138E-4</v>
      </c>
      <c r="Z409" s="12">
        <f t="shared" si="132"/>
        <v>0.95927604296690194</v>
      </c>
      <c r="AA409" t="str">
        <f t="shared" si="123"/>
        <v>C</v>
      </c>
      <c r="AB409" t="str">
        <f t="shared" si="124"/>
        <v>X</v>
      </c>
      <c r="AC409" t="str">
        <f t="shared" si="125"/>
        <v>CX</v>
      </c>
      <c r="AD409" t="str">
        <f t="shared" si="126"/>
        <v>Simplified Bulk Control</v>
      </c>
      <c r="AE409" t="str">
        <f t="shared" si="127"/>
        <v>Monthly</v>
      </c>
      <c r="AF409" t="str">
        <f t="shared" si="128"/>
        <v>Bulk Ordering</v>
      </c>
      <c r="AG409" t="str">
        <f t="shared" si="129"/>
        <v>Low</v>
      </c>
      <c r="AH409">
        <f t="shared" si="130"/>
        <v>40</v>
      </c>
      <c r="AI409" t="str">
        <f t="shared" si="131"/>
        <v>Low</v>
      </c>
    </row>
    <row r="410" spans="1:35">
      <c r="A410" t="s">
        <v>172</v>
      </c>
      <c r="B410" t="s">
        <v>34</v>
      </c>
      <c r="C410" t="s">
        <v>22</v>
      </c>
      <c r="D410" t="s">
        <v>25</v>
      </c>
      <c r="E410">
        <v>313</v>
      </c>
      <c r="F410">
        <v>72</v>
      </c>
      <c r="G410">
        <v>74</v>
      </c>
      <c r="H410">
        <v>28</v>
      </c>
      <c r="I410">
        <v>337.84</v>
      </c>
      <c r="J410">
        <v>0.15</v>
      </c>
      <c r="K410">
        <v>448</v>
      </c>
      <c r="L410">
        <v>0.72</v>
      </c>
      <c r="M410">
        <v>9</v>
      </c>
      <c r="N410" s="1">
        <f t="shared" si="114"/>
        <v>2.4</v>
      </c>
      <c r="O410" s="1">
        <f>N410*(1+Control_Panel!$B$2)</f>
        <v>2.4</v>
      </c>
      <c r="P410" s="12">
        <f t="shared" si="115"/>
        <v>1.0277777777777777</v>
      </c>
      <c r="Q410" t="str" cm="1">
        <f t="array" ref="Q410">_xlfn.IFS(P410&lt;0.2,"Stable",P410&lt;=0.5,"Moderate",P410&gt;0.5,"Highly veriable")</f>
        <v>Highly veriable</v>
      </c>
      <c r="R410" s="1">
        <f t="shared" si="116"/>
        <v>391.57119403755945</v>
      </c>
      <c r="S410" s="1">
        <f t="shared" si="117"/>
        <v>421.97119403755943</v>
      </c>
      <c r="T410" s="1">
        <f t="shared" si="118"/>
        <v>-108.97119403755943</v>
      </c>
      <c r="U410" t="str">
        <f t="shared" si="119"/>
        <v xml:space="preserve"> Need to Order</v>
      </c>
      <c r="V410">
        <f t="shared" si="120"/>
        <v>864</v>
      </c>
      <c r="W410" s="9">
        <f t="shared" si="121"/>
        <v>291893.75999999995</v>
      </c>
      <c r="Y410">
        <f t="shared" si="122"/>
        <v>6.5442639203002503E-4</v>
      </c>
      <c r="Z410" s="12">
        <f t="shared" si="132"/>
        <v>0.959930469358932</v>
      </c>
      <c r="AA410" t="str">
        <f t="shared" si="123"/>
        <v>C</v>
      </c>
      <c r="AB410" t="str">
        <f t="shared" si="124"/>
        <v>Z</v>
      </c>
      <c r="AC410" t="str">
        <f t="shared" si="125"/>
        <v>CZ</v>
      </c>
      <c r="AD410" t="str">
        <f t="shared" si="126"/>
        <v>Minimal Control</v>
      </c>
      <c r="AE410" t="str">
        <f t="shared" si="127"/>
        <v>Quarterly</v>
      </c>
      <c r="AF410" t="str">
        <f t="shared" si="128"/>
        <v>Reduce Inventory Exposure</v>
      </c>
      <c r="AG410" t="str">
        <f t="shared" si="129"/>
        <v>Low</v>
      </c>
      <c r="AH410">
        <f t="shared" si="130"/>
        <v>50</v>
      </c>
      <c r="AI410" t="str">
        <f t="shared" si="131"/>
        <v>Medium</v>
      </c>
    </row>
    <row r="411" spans="1:35">
      <c r="A411" t="s">
        <v>52</v>
      </c>
      <c r="B411" t="s">
        <v>36</v>
      </c>
      <c r="C411" t="s">
        <v>22</v>
      </c>
      <c r="D411" t="s">
        <v>41</v>
      </c>
      <c r="E411">
        <v>846</v>
      </c>
      <c r="F411">
        <v>147</v>
      </c>
      <c r="G411">
        <v>39</v>
      </c>
      <c r="H411">
        <v>29</v>
      </c>
      <c r="I411">
        <v>165.41</v>
      </c>
      <c r="J411">
        <v>0.21</v>
      </c>
      <c r="K411">
        <v>792</v>
      </c>
      <c r="L411">
        <v>0.85</v>
      </c>
      <c r="M411">
        <v>7</v>
      </c>
      <c r="N411" s="1">
        <f t="shared" si="114"/>
        <v>4.9000000000000004</v>
      </c>
      <c r="O411" s="1">
        <f>N411*(1+Control_Panel!$B$2)</f>
        <v>4.9000000000000004</v>
      </c>
      <c r="P411" s="12">
        <f t="shared" si="115"/>
        <v>0.26530612244897961</v>
      </c>
      <c r="Q411" t="str" cm="1">
        <f t="array" ref="Q411">_xlfn.IFS(P411&lt;0.2,"Stable",P411&lt;=0.5,"Moderate",P411&gt;0.5,"Highly veriable")</f>
        <v>Moderate</v>
      </c>
      <c r="R411" s="1">
        <f t="shared" si="116"/>
        <v>210.02142747824564</v>
      </c>
      <c r="S411" s="1">
        <f t="shared" si="117"/>
        <v>243.92142747824565</v>
      </c>
      <c r="T411" s="1">
        <f t="shared" si="118"/>
        <v>602.07857252175438</v>
      </c>
      <c r="U411" t="str">
        <f t="shared" si="119"/>
        <v xml:space="preserve"> Safe</v>
      </c>
      <c r="V411">
        <f t="shared" si="120"/>
        <v>1764</v>
      </c>
      <c r="W411" s="9">
        <f t="shared" si="121"/>
        <v>291783.24</v>
      </c>
      <c r="Y411">
        <f t="shared" si="122"/>
        <v>6.5417860596962024E-4</v>
      </c>
      <c r="Z411" s="12">
        <f t="shared" si="132"/>
        <v>0.96058464796490162</v>
      </c>
      <c r="AA411" t="str">
        <f t="shared" si="123"/>
        <v>C</v>
      </c>
      <c r="AB411" t="str">
        <f t="shared" si="124"/>
        <v>Y</v>
      </c>
      <c r="AC411" t="str">
        <f t="shared" si="125"/>
        <v>CY</v>
      </c>
      <c r="AD411" t="str">
        <f t="shared" si="126"/>
        <v>Low-Priority Monitoring</v>
      </c>
      <c r="AE411" t="str">
        <f t="shared" si="127"/>
        <v>Monthly Review</v>
      </c>
      <c r="AF411" t="str">
        <f t="shared" si="128"/>
        <v>Low Priority Monitoring</v>
      </c>
      <c r="AG411" t="str">
        <f t="shared" si="129"/>
        <v>Low</v>
      </c>
      <c r="AH411">
        <f t="shared" si="130"/>
        <v>40</v>
      </c>
      <c r="AI411" t="str">
        <f t="shared" si="131"/>
        <v>Low</v>
      </c>
    </row>
    <row r="412" spans="1:35">
      <c r="A412" t="s">
        <v>265</v>
      </c>
      <c r="B412" t="s">
        <v>38</v>
      </c>
      <c r="C412" t="s">
        <v>22</v>
      </c>
      <c r="D412" t="s">
        <v>23</v>
      </c>
      <c r="E412">
        <v>59</v>
      </c>
      <c r="F412">
        <v>136</v>
      </c>
      <c r="G412">
        <v>27</v>
      </c>
      <c r="H412">
        <v>12</v>
      </c>
      <c r="I412">
        <v>177.84</v>
      </c>
      <c r="J412">
        <v>0.14000000000000001</v>
      </c>
      <c r="K412">
        <v>374</v>
      </c>
      <c r="L412">
        <v>0.74</v>
      </c>
      <c r="M412">
        <v>10</v>
      </c>
      <c r="N412" s="1">
        <f t="shared" si="114"/>
        <v>4.5333333333333332</v>
      </c>
      <c r="O412" s="1">
        <f>N412*(1+Control_Panel!$B$2)</f>
        <v>4.5333333333333332</v>
      </c>
      <c r="P412" s="12">
        <f t="shared" si="115"/>
        <v>0.19852941176470587</v>
      </c>
      <c r="Q412" t="str" cm="1">
        <f t="array" ref="Q412">_xlfn.IFS(P412&lt;0.2,"Stable",P412&lt;=0.5,"Moderate",P412&gt;0.5,"Highly veriable")</f>
        <v>Stable</v>
      </c>
      <c r="R412" s="1">
        <f t="shared" si="116"/>
        <v>93.530743608719362</v>
      </c>
      <c r="S412" s="1">
        <f t="shared" si="117"/>
        <v>110.06407694205269</v>
      </c>
      <c r="T412" s="1">
        <f t="shared" si="118"/>
        <v>-51.064076942052694</v>
      </c>
      <c r="U412" t="str">
        <f t="shared" si="119"/>
        <v xml:space="preserve"> Need to Order</v>
      </c>
      <c r="V412">
        <f t="shared" si="120"/>
        <v>1632</v>
      </c>
      <c r="W412" s="9">
        <f t="shared" si="121"/>
        <v>290234.88</v>
      </c>
      <c r="Y412">
        <f t="shared" si="122"/>
        <v>6.5070717976179859E-4</v>
      </c>
      <c r="Z412" s="12">
        <f t="shared" si="132"/>
        <v>0.96123535514466341</v>
      </c>
      <c r="AA412" t="str">
        <f t="shared" si="123"/>
        <v>C</v>
      </c>
      <c r="AB412" t="str">
        <f t="shared" si="124"/>
        <v>X</v>
      </c>
      <c r="AC412" t="str">
        <f t="shared" si="125"/>
        <v>CX</v>
      </c>
      <c r="AD412" t="str">
        <f t="shared" si="126"/>
        <v>Simplified Bulk Control</v>
      </c>
      <c r="AE412" t="str">
        <f t="shared" si="127"/>
        <v>Monthly</v>
      </c>
      <c r="AF412" t="str">
        <f t="shared" si="128"/>
        <v>Bulk Ordering</v>
      </c>
      <c r="AG412" t="str">
        <f t="shared" si="129"/>
        <v>Low</v>
      </c>
      <c r="AH412">
        <f t="shared" si="130"/>
        <v>50</v>
      </c>
      <c r="AI412" t="str">
        <f t="shared" si="131"/>
        <v>Medium</v>
      </c>
    </row>
    <row r="413" spans="1:35">
      <c r="A413" t="s">
        <v>432</v>
      </c>
      <c r="B413" t="s">
        <v>40</v>
      </c>
      <c r="C413" t="s">
        <v>22</v>
      </c>
      <c r="D413" t="s">
        <v>16</v>
      </c>
      <c r="E413">
        <v>216</v>
      </c>
      <c r="F413">
        <v>157</v>
      </c>
      <c r="G413">
        <v>69</v>
      </c>
      <c r="H413">
        <v>22</v>
      </c>
      <c r="I413">
        <v>153.4</v>
      </c>
      <c r="J413">
        <v>0.08</v>
      </c>
      <c r="K413">
        <v>145</v>
      </c>
      <c r="L413">
        <v>0.7</v>
      </c>
      <c r="M413">
        <v>8</v>
      </c>
      <c r="N413" s="1">
        <f t="shared" si="114"/>
        <v>5.2333333333333334</v>
      </c>
      <c r="O413" s="1">
        <f>N413*(1+Control_Panel!$B$2)</f>
        <v>5.2333333333333334</v>
      </c>
      <c r="P413" s="12">
        <f t="shared" si="115"/>
        <v>0.43949044585987262</v>
      </c>
      <c r="Q413" t="str" cm="1">
        <f t="array" ref="Q413">_xlfn.IFS(P413&lt;0.2,"Stable",P413&lt;=0.5,"Moderate",P413&gt;0.5,"Highly veriable")</f>
        <v>Moderate</v>
      </c>
      <c r="R413" s="1">
        <f t="shared" si="116"/>
        <v>323.63868742781665</v>
      </c>
      <c r="S413" s="1">
        <f t="shared" si="117"/>
        <v>350.87202076115</v>
      </c>
      <c r="T413" s="1">
        <f t="shared" si="118"/>
        <v>-134.87202076115</v>
      </c>
      <c r="U413" t="str">
        <f t="shared" si="119"/>
        <v xml:space="preserve"> Need to Order</v>
      </c>
      <c r="V413">
        <f t="shared" si="120"/>
        <v>1884</v>
      </c>
      <c r="W413" s="9">
        <f t="shared" si="121"/>
        <v>289005.60000000003</v>
      </c>
      <c r="Y413">
        <f t="shared" si="122"/>
        <v>6.4795113155030322E-4</v>
      </c>
      <c r="Z413" s="12">
        <f t="shared" si="132"/>
        <v>0.96188330627621366</v>
      </c>
      <c r="AA413" t="str">
        <f t="shared" si="123"/>
        <v>C</v>
      </c>
      <c r="AB413" t="str">
        <f t="shared" si="124"/>
        <v>Y</v>
      </c>
      <c r="AC413" t="str">
        <f t="shared" si="125"/>
        <v>CY</v>
      </c>
      <c r="AD413" t="str">
        <f t="shared" si="126"/>
        <v>Low-Priority Monitoring</v>
      </c>
      <c r="AE413" t="str">
        <f t="shared" si="127"/>
        <v>Monthly Review</v>
      </c>
      <c r="AF413" t="str">
        <f t="shared" si="128"/>
        <v>Low Priority Monitoring</v>
      </c>
      <c r="AG413" t="str">
        <f t="shared" si="129"/>
        <v>Low</v>
      </c>
      <c r="AH413">
        <f t="shared" si="130"/>
        <v>50</v>
      </c>
      <c r="AI413" t="str">
        <f t="shared" si="131"/>
        <v>Medium</v>
      </c>
    </row>
    <row r="414" spans="1:35">
      <c r="A414" t="s">
        <v>518</v>
      </c>
      <c r="B414" t="s">
        <v>34</v>
      </c>
      <c r="C414" t="s">
        <v>15</v>
      </c>
      <c r="D414" t="s">
        <v>23</v>
      </c>
      <c r="E414">
        <v>788</v>
      </c>
      <c r="F414">
        <v>420</v>
      </c>
      <c r="G414">
        <v>88</v>
      </c>
      <c r="H414">
        <v>5</v>
      </c>
      <c r="I414">
        <v>57.12</v>
      </c>
      <c r="J414">
        <v>7.0000000000000007E-2</v>
      </c>
      <c r="K414">
        <v>674</v>
      </c>
      <c r="L414">
        <v>0.71</v>
      </c>
      <c r="M414">
        <v>7</v>
      </c>
      <c r="N414" s="1">
        <f t="shared" si="114"/>
        <v>14</v>
      </c>
      <c r="O414" s="1">
        <f>N414*(1+Control_Panel!$B$2)</f>
        <v>14</v>
      </c>
      <c r="P414" s="12">
        <f t="shared" si="115"/>
        <v>0.20952380952380953</v>
      </c>
      <c r="Q414" t="str" cm="1">
        <f t="array" ref="Q414">_xlfn.IFS(P414&lt;0.2,"Stable",P414&lt;=0.5,"Moderate",P414&gt;0.5,"Highly veriable")</f>
        <v>Moderate</v>
      </c>
      <c r="R414" s="1">
        <f t="shared" si="116"/>
        <v>196.7739820199815</v>
      </c>
      <c r="S414" s="1">
        <f t="shared" si="117"/>
        <v>215.7739820199815</v>
      </c>
      <c r="T414" s="1">
        <f t="shared" si="118"/>
        <v>572.22601798001847</v>
      </c>
      <c r="U414" t="str">
        <f t="shared" si="119"/>
        <v xml:space="preserve"> Safe</v>
      </c>
      <c r="V414">
        <f t="shared" si="120"/>
        <v>5040</v>
      </c>
      <c r="W414" s="9">
        <f t="shared" si="121"/>
        <v>287884.79999999999</v>
      </c>
      <c r="Y414">
        <f t="shared" si="122"/>
        <v>6.4543829571514434E-4</v>
      </c>
      <c r="Z414" s="12">
        <f t="shared" si="132"/>
        <v>0.96252874457192883</v>
      </c>
      <c r="AA414" t="str">
        <f t="shared" si="123"/>
        <v>C</v>
      </c>
      <c r="AB414" t="str">
        <f t="shared" si="124"/>
        <v>Y</v>
      </c>
      <c r="AC414" t="str">
        <f t="shared" si="125"/>
        <v>CY</v>
      </c>
      <c r="AD414" t="str">
        <f t="shared" si="126"/>
        <v>Low-Priority Monitoring</v>
      </c>
      <c r="AE414" t="str">
        <f t="shared" si="127"/>
        <v>Monthly Review</v>
      </c>
      <c r="AF414" t="str">
        <f t="shared" si="128"/>
        <v>Low Priority Monitoring</v>
      </c>
      <c r="AG414" t="str">
        <f t="shared" si="129"/>
        <v>Low</v>
      </c>
      <c r="AH414">
        <f t="shared" si="130"/>
        <v>40</v>
      </c>
      <c r="AI414" t="str">
        <f t="shared" si="131"/>
        <v>Low</v>
      </c>
    </row>
    <row r="415" spans="1:35">
      <c r="A415" t="s">
        <v>493</v>
      </c>
      <c r="B415" t="s">
        <v>40</v>
      </c>
      <c r="C415" t="s">
        <v>15</v>
      </c>
      <c r="D415" t="s">
        <v>41</v>
      </c>
      <c r="E415">
        <v>407</v>
      </c>
      <c r="F415">
        <v>455</v>
      </c>
      <c r="G415">
        <v>80</v>
      </c>
      <c r="H415">
        <v>12</v>
      </c>
      <c r="I415">
        <v>52.58</v>
      </c>
      <c r="J415">
        <v>0.23</v>
      </c>
      <c r="K415">
        <v>417</v>
      </c>
      <c r="L415">
        <v>0.78</v>
      </c>
      <c r="M415">
        <v>2</v>
      </c>
      <c r="N415" s="1">
        <f t="shared" si="114"/>
        <v>15.166666666666666</v>
      </c>
      <c r="O415" s="1">
        <f>N415*(1+Control_Panel!$B$2)</f>
        <v>15.166666666666666</v>
      </c>
      <c r="P415" s="12">
        <f t="shared" si="115"/>
        <v>0.17582417582417584</v>
      </c>
      <c r="Q415" t="str" cm="1">
        <f t="array" ref="Q415">_xlfn.IFS(P415&lt;0.2,"Stable",P415&lt;=0.5,"Moderate",P415&gt;0.5,"Highly veriable")</f>
        <v>Stable</v>
      </c>
      <c r="R415" s="1">
        <f t="shared" si="116"/>
        <v>277.12812921102034</v>
      </c>
      <c r="S415" s="1">
        <f t="shared" si="117"/>
        <v>304.29479587768702</v>
      </c>
      <c r="T415" s="1">
        <f t="shared" si="118"/>
        <v>102.70520412231298</v>
      </c>
      <c r="U415" t="str">
        <f t="shared" si="119"/>
        <v xml:space="preserve"> Risk</v>
      </c>
      <c r="V415">
        <f t="shared" si="120"/>
        <v>5460</v>
      </c>
      <c r="W415" s="9">
        <f t="shared" si="121"/>
        <v>287086.8</v>
      </c>
      <c r="Y415">
        <f t="shared" si="122"/>
        <v>6.4364917812373033E-4</v>
      </c>
      <c r="Z415" s="12">
        <f t="shared" si="132"/>
        <v>0.96317239375005259</v>
      </c>
      <c r="AA415" t="str">
        <f t="shared" si="123"/>
        <v>C</v>
      </c>
      <c r="AB415" t="str">
        <f t="shared" si="124"/>
        <v>X</v>
      </c>
      <c r="AC415" t="str">
        <f t="shared" si="125"/>
        <v>CX</v>
      </c>
      <c r="AD415" t="str">
        <f t="shared" si="126"/>
        <v>Simplified Bulk Control</v>
      </c>
      <c r="AE415" t="str">
        <f t="shared" si="127"/>
        <v>Monthly</v>
      </c>
      <c r="AF415" t="str">
        <f t="shared" si="128"/>
        <v>Bulk Ordering</v>
      </c>
      <c r="AG415" t="str">
        <f t="shared" si="129"/>
        <v>Low</v>
      </c>
      <c r="AH415">
        <f t="shared" si="130"/>
        <v>30</v>
      </c>
      <c r="AI415" t="str">
        <f t="shared" si="131"/>
        <v>Low</v>
      </c>
    </row>
    <row r="416" spans="1:35">
      <c r="A416" t="s">
        <v>53</v>
      </c>
      <c r="B416" t="s">
        <v>14</v>
      </c>
      <c r="C416" t="s">
        <v>22</v>
      </c>
      <c r="D416" t="s">
        <v>23</v>
      </c>
      <c r="E416">
        <v>416</v>
      </c>
      <c r="F416">
        <v>74</v>
      </c>
      <c r="G416">
        <v>21</v>
      </c>
      <c r="H416">
        <v>3</v>
      </c>
      <c r="I416">
        <v>316.60000000000002</v>
      </c>
      <c r="J416">
        <v>0.22</v>
      </c>
      <c r="K416">
        <v>158</v>
      </c>
      <c r="L416">
        <v>0.77</v>
      </c>
      <c r="M416">
        <v>6</v>
      </c>
      <c r="N416" s="1">
        <f t="shared" si="114"/>
        <v>2.4666666666666668</v>
      </c>
      <c r="O416" s="1">
        <f>N416*(1+Control_Panel!$B$2)</f>
        <v>2.4666666666666668</v>
      </c>
      <c r="P416" s="12">
        <f t="shared" si="115"/>
        <v>0.28378378378378377</v>
      </c>
      <c r="Q416" t="str" cm="1">
        <f t="array" ref="Q416">_xlfn.IFS(P416&lt;0.2,"Stable",P416&lt;=0.5,"Moderate",P416&gt;0.5,"Highly veriable")</f>
        <v>Moderate</v>
      </c>
      <c r="R416" s="1">
        <f t="shared" si="116"/>
        <v>36.373066958946424</v>
      </c>
      <c r="S416" s="1">
        <f t="shared" si="117"/>
        <v>41.839733625613093</v>
      </c>
      <c r="T416" s="1">
        <f t="shared" si="118"/>
        <v>374.16026637438688</v>
      </c>
      <c r="U416" t="str">
        <f t="shared" si="119"/>
        <v xml:space="preserve"> Safe</v>
      </c>
      <c r="V416">
        <f t="shared" si="120"/>
        <v>888</v>
      </c>
      <c r="W416" s="9">
        <f t="shared" si="121"/>
        <v>281140.80000000005</v>
      </c>
      <c r="Y416">
        <f t="shared" si="122"/>
        <v>6.3031823426590175E-4</v>
      </c>
      <c r="Z416" s="12">
        <f t="shared" si="132"/>
        <v>0.96380271198431844</v>
      </c>
      <c r="AA416" t="str">
        <f t="shared" si="123"/>
        <v>C</v>
      </c>
      <c r="AB416" t="str">
        <f t="shared" si="124"/>
        <v>Y</v>
      </c>
      <c r="AC416" t="str">
        <f t="shared" si="125"/>
        <v>CY</v>
      </c>
      <c r="AD416" t="str">
        <f t="shared" si="126"/>
        <v>Low-Priority Monitoring</v>
      </c>
      <c r="AE416" t="str">
        <f t="shared" si="127"/>
        <v>Monthly Review</v>
      </c>
      <c r="AF416" t="str">
        <f t="shared" si="128"/>
        <v>Low Priority Monitoring</v>
      </c>
      <c r="AG416" t="str">
        <f t="shared" si="129"/>
        <v>Low</v>
      </c>
      <c r="AH416">
        <f t="shared" si="130"/>
        <v>40</v>
      </c>
      <c r="AI416" t="str">
        <f t="shared" si="131"/>
        <v>Low</v>
      </c>
    </row>
    <row r="417" spans="1:35">
      <c r="A417" t="s">
        <v>89</v>
      </c>
      <c r="B417" t="s">
        <v>36</v>
      </c>
      <c r="C417" t="s">
        <v>22</v>
      </c>
      <c r="D417" t="s">
        <v>16</v>
      </c>
      <c r="E417">
        <v>957</v>
      </c>
      <c r="F417">
        <v>174</v>
      </c>
      <c r="G417">
        <v>24</v>
      </c>
      <c r="H417">
        <v>22</v>
      </c>
      <c r="I417">
        <v>134.22</v>
      </c>
      <c r="J417">
        <v>7.0000000000000007E-2</v>
      </c>
      <c r="K417">
        <v>693</v>
      </c>
      <c r="L417">
        <v>0.86</v>
      </c>
      <c r="M417">
        <v>10</v>
      </c>
      <c r="N417" s="1">
        <f t="shared" si="114"/>
        <v>5.8</v>
      </c>
      <c r="O417" s="1">
        <f>N417*(1+Control_Panel!$B$2)</f>
        <v>5.8</v>
      </c>
      <c r="P417" s="12">
        <f t="shared" si="115"/>
        <v>0.13793103448275862</v>
      </c>
      <c r="Q417" t="str" cm="1">
        <f t="array" ref="Q417">_xlfn.IFS(P417&lt;0.2,"Stable",P417&lt;=0.5,"Moderate",P417&gt;0.5,"Highly veriable")</f>
        <v>Stable</v>
      </c>
      <c r="R417" s="1">
        <f t="shared" si="116"/>
        <v>112.56997823576231</v>
      </c>
      <c r="S417" s="1">
        <f t="shared" si="117"/>
        <v>140.36997823576232</v>
      </c>
      <c r="T417" s="1">
        <f t="shared" si="118"/>
        <v>816.63002176423765</v>
      </c>
      <c r="U417" t="str">
        <f t="shared" si="119"/>
        <v xml:space="preserve"> Safe</v>
      </c>
      <c r="V417">
        <f t="shared" si="120"/>
        <v>2088</v>
      </c>
      <c r="W417" s="9">
        <f t="shared" si="121"/>
        <v>280251.36</v>
      </c>
      <c r="Y417">
        <f t="shared" si="122"/>
        <v>6.2832410801213318E-4</v>
      </c>
      <c r="Z417" s="12">
        <f t="shared" si="132"/>
        <v>0.96443103609233061</v>
      </c>
      <c r="AA417" t="str">
        <f t="shared" si="123"/>
        <v>C</v>
      </c>
      <c r="AB417" t="str">
        <f t="shared" si="124"/>
        <v>X</v>
      </c>
      <c r="AC417" t="str">
        <f t="shared" si="125"/>
        <v>CX</v>
      </c>
      <c r="AD417" t="str">
        <f t="shared" si="126"/>
        <v>Simplified Bulk Control</v>
      </c>
      <c r="AE417" t="str">
        <f t="shared" si="127"/>
        <v>Monthly</v>
      </c>
      <c r="AF417" t="str">
        <f t="shared" si="128"/>
        <v>Bulk Ordering</v>
      </c>
      <c r="AG417" t="str">
        <f t="shared" si="129"/>
        <v>Low</v>
      </c>
      <c r="AH417">
        <f t="shared" si="130"/>
        <v>50</v>
      </c>
      <c r="AI417" t="str">
        <f t="shared" si="131"/>
        <v>Medium</v>
      </c>
    </row>
    <row r="418" spans="1:35">
      <c r="A418" t="s">
        <v>304</v>
      </c>
      <c r="B418" t="s">
        <v>29</v>
      </c>
      <c r="C418" t="s">
        <v>15</v>
      </c>
      <c r="D418" t="s">
        <v>23</v>
      </c>
      <c r="E418">
        <v>197</v>
      </c>
      <c r="F418">
        <v>58</v>
      </c>
      <c r="G418">
        <v>56</v>
      </c>
      <c r="H418">
        <v>25</v>
      </c>
      <c r="I418">
        <v>396.96</v>
      </c>
      <c r="J418">
        <v>0.14000000000000001</v>
      </c>
      <c r="K418">
        <v>520</v>
      </c>
      <c r="L418">
        <v>0.96</v>
      </c>
      <c r="M418">
        <v>3</v>
      </c>
      <c r="N418" s="1">
        <f t="shared" si="114"/>
        <v>1.9333333333333333</v>
      </c>
      <c r="O418" s="1">
        <f>N418*(1+Control_Panel!$B$2)</f>
        <v>1.9333333333333333</v>
      </c>
      <c r="P418" s="12">
        <f t="shared" si="115"/>
        <v>0.96551724137931039</v>
      </c>
      <c r="Q418" t="str" cm="1">
        <f t="array" ref="Q418">_xlfn.IFS(P418&lt;0.2,"Stable",P418&lt;=0.5,"Moderate",P418&gt;0.5,"Highly veriable")</f>
        <v>Highly veriable</v>
      </c>
      <c r="R418" s="1">
        <f t="shared" si="116"/>
        <v>280</v>
      </c>
      <c r="S418" s="1">
        <f t="shared" si="117"/>
        <v>306.93333333333334</v>
      </c>
      <c r="T418" s="1">
        <f t="shared" si="118"/>
        <v>-109.93333333333334</v>
      </c>
      <c r="U418" t="str">
        <f t="shared" si="119"/>
        <v xml:space="preserve"> Need to Order</v>
      </c>
      <c r="V418">
        <f t="shared" si="120"/>
        <v>696</v>
      </c>
      <c r="W418" s="9">
        <f t="shared" si="121"/>
        <v>276284.15999999997</v>
      </c>
      <c r="Y418">
        <f t="shared" si="122"/>
        <v>6.1942963770053247E-4</v>
      </c>
      <c r="Z418" s="12">
        <f t="shared" si="132"/>
        <v>0.96505046573003117</v>
      </c>
      <c r="AA418" t="str">
        <f t="shared" si="123"/>
        <v>C</v>
      </c>
      <c r="AB418" t="str">
        <f t="shared" si="124"/>
        <v>Z</v>
      </c>
      <c r="AC418" t="str">
        <f t="shared" si="125"/>
        <v>CZ</v>
      </c>
      <c r="AD418" t="str">
        <f t="shared" si="126"/>
        <v>Minimal Control</v>
      </c>
      <c r="AE418" t="str">
        <f t="shared" si="127"/>
        <v>Quarterly</v>
      </c>
      <c r="AF418" t="str">
        <f t="shared" si="128"/>
        <v>Reduce Inventory Exposure</v>
      </c>
      <c r="AG418" t="str">
        <f t="shared" si="129"/>
        <v>Low</v>
      </c>
      <c r="AH418">
        <f t="shared" si="130"/>
        <v>30</v>
      </c>
      <c r="AI418" t="str">
        <f t="shared" si="131"/>
        <v>Low</v>
      </c>
    </row>
    <row r="419" spans="1:35">
      <c r="A419" t="s">
        <v>245</v>
      </c>
      <c r="B419" t="s">
        <v>36</v>
      </c>
      <c r="C419" t="s">
        <v>22</v>
      </c>
      <c r="D419" t="s">
        <v>16</v>
      </c>
      <c r="E419">
        <v>445</v>
      </c>
      <c r="F419">
        <v>131</v>
      </c>
      <c r="G419">
        <v>77</v>
      </c>
      <c r="H419">
        <v>30</v>
      </c>
      <c r="I419">
        <v>175.56</v>
      </c>
      <c r="J419">
        <v>0.17</v>
      </c>
      <c r="K419">
        <v>319</v>
      </c>
      <c r="L419">
        <v>0.86</v>
      </c>
      <c r="M419">
        <v>9</v>
      </c>
      <c r="N419" s="1">
        <f t="shared" si="114"/>
        <v>4.3666666666666663</v>
      </c>
      <c r="O419" s="1">
        <f>N419*(1+Control_Panel!$B$2)</f>
        <v>4.3666666666666663</v>
      </c>
      <c r="P419" s="12">
        <f t="shared" si="115"/>
        <v>0.58778625954198471</v>
      </c>
      <c r="Q419" t="str" cm="1">
        <f t="array" ref="Q419">_xlfn.IFS(P419&lt;0.2,"Stable",P419&lt;=0.5,"Moderate",P419&gt;0.5,"Highly veriable")</f>
        <v>Highly veriable</v>
      </c>
      <c r="R419" s="1">
        <f t="shared" si="116"/>
        <v>421.74636927897791</v>
      </c>
      <c r="S419" s="1">
        <f t="shared" si="117"/>
        <v>456.11303594564458</v>
      </c>
      <c r="T419" s="1">
        <f t="shared" si="118"/>
        <v>-11.113035945644583</v>
      </c>
      <c r="U419" t="str">
        <f t="shared" si="119"/>
        <v xml:space="preserve"> Need to Order</v>
      </c>
      <c r="V419">
        <f t="shared" si="120"/>
        <v>1572</v>
      </c>
      <c r="W419" s="9">
        <f t="shared" si="121"/>
        <v>275980.32</v>
      </c>
      <c r="Y419">
        <f t="shared" si="122"/>
        <v>6.1874842781459865E-4</v>
      </c>
      <c r="Z419" s="12">
        <f t="shared" si="132"/>
        <v>0.96566921415784579</v>
      </c>
      <c r="AA419" t="str">
        <f t="shared" si="123"/>
        <v>C</v>
      </c>
      <c r="AB419" t="str">
        <f t="shared" si="124"/>
        <v>Z</v>
      </c>
      <c r="AC419" t="str">
        <f t="shared" si="125"/>
        <v>CZ</v>
      </c>
      <c r="AD419" t="str">
        <f t="shared" si="126"/>
        <v>Minimal Control</v>
      </c>
      <c r="AE419" t="str">
        <f t="shared" si="127"/>
        <v>Quarterly</v>
      </c>
      <c r="AF419" t="str">
        <f t="shared" si="128"/>
        <v>Reduce Inventory Exposure</v>
      </c>
      <c r="AG419" t="str">
        <f t="shared" si="129"/>
        <v>Low</v>
      </c>
      <c r="AH419">
        <f t="shared" si="130"/>
        <v>50</v>
      </c>
      <c r="AI419" t="str">
        <f t="shared" si="131"/>
        <v>Medium</v>
      </c>
    </row>
    <row r="420" spans="1:35">
      <c r="A420" t="s">
        <v>283</v>
      </c>
      <c r="B420" t="s">
        <v>18</v>
      </c>
      <c r="C420" t="s">
        <v>22</v>
      </c>
      <c r="D420" t="s">
        <v>23</v>
      </c>
      <c r="E420">
        <v>546</v>
      </c>
      <c r="F420">
        <v>71</v>
      </c>
      <c r="G420">
        <v>84</v>
      </c>
      <c r="H420">
        <v>20</v>
      </c>
      <c r="I420">
        <v>323.43</v>
      </c>
      <c r="J420">
        <v>0.18</v>
      </c>
      <c r="K420">
        <v>643</v>
      </c>
      <c r="L420">
        <v>0.72</v>
      </c>
      <c r="M420">
        <v>10</v>
      </c>
      <c r="N420" s="1">
        <f t="shared" si="114"/>
        <v>2.3666666666666667</v>
      </c>
      <c r="O420" s="1">
        <f>N420*(1+Control_Panel!$B$2)</f>
        <v>2.3666666666666667</v>
      </c>
      <c r="P420" s="12">
        <f t="shared" si="115"/>
        <v>1.1830985915492958</v>
      </c>
      <c r="Q420" t="str" cm="1">
        <f t="array" ref="Q420">_xlfn.IFS(P420&lt;0.2,"Stable",P420&lt;=0.5,"Moderate",P420&gt;0.5,"Highly veriable")</f>
        <v>Highly veriable</v>
      </c>
      <c r="R420" s="1">
        <f t="shared" si="116"/>
        <v>375.65942021996466</v>
      </c>
      <c r="S420" s="1">
        <f t="shared" si="117"/>
        <v>398.02608688663133</v>
      </c>
      <c r="T420" s="1">
        <f t="shared" si="118"/>
        <v>147.97391311336867</v>
      </c>
      <c r="U420" t="str">
        <f t="shared" si="119"/>
        <v xml:space="preserve"> Risk</v>
      </c>
      <c r="V420">
        <f t="shared" si="120"/>
        <v>852</v>
      </c>
      <c r="W420" s="9">
        <f t="shared" si="121"/>
        <v>275562.36</v>
      </c>
      <c r="Y420">
        <f t="shared" si="122"/>
        <v>6.1781136066108055E-4</v>
      </c>
      <c r="Z420" s="12">
        <f t="shared" si="132"/>
        <v>0.96628702551850687</v>
      </c>
      <c r="AA420" t="str">
        <f t="shared" si="123"/>
        <v>C</v>
      </c>
      <c r="AB420" t="str">
        <f t="shared" si="124"/>
        <v>Z</v>
      </c>
      <c r="AC420" t="str">
        <f t="shared" si="125"/>
        <v>CZ</v>
      </c>
      <c r="AD420" t="str">
        <f t="shared" si="126"/>
        <v>Minimal Control</v>
      </c>
      <c r="AE420" t="str">
        <f t="shared" si="127"/>
        <v>Quarterly</v>
      </c>
      <c r="AF420" t="str">
        <f t="shared" si="128"/>
        <v>Reduce Inventory Exposure</v>
      </c>
      <c r="AG420" t="str">
        <f t="shared" si="129"/>
        <v>Low</v>
      </c>
      <c r="AH420">
        <f t="shared" si="130"/>
        <v>50</v>
      </c>
      <c r="AI420" t="str">
        <f t="shared" si="131"/>
        <v>Medium</v>
      </c>
    </row>
    <row r="421" spans="1:35">
      <c r="A421" t="s">
        <v>404</v>
      </c>
      <c r="B421" t="s">
        <v>21</v>
      </c>
      <c r="C421" t="s">
        <v>22</v>
      </c>
      <c r="D421" t="s">
        <v>25</v>
      </c>
      <c r="E421">
        <v>688</v>
      </c>
      <c r="F421">
        <v>282</v>
      </c>
      <c r="G421">
        <v>20</v>
      </c>
      <c r="H421">
        <v>10</v>
      </c>
      <c r="I421">
        <v>79.91</v>
      </c>
      <c r="J421">
        <v>0.13</v>
      </c>
      <c r="K421">
        <v>151</v>
      </c>
      <c r="L421">
        <v>0.82</v>
      </c>
      <c r="M421">
        <v>6</v>
      </c>
      <c r="N421" s="1">
        <f t="shared" si="114"/>
        <v>9.4</v>
      </c>
      <c r="O421" s="1">
        <f>N421*(1+Control_Panel!$B$2)</f>
        <v>9.4</v>
      </c>
      <c r="P421" s="12">
        <f t="shared" si="115"/>
        <v>7.0921985815602842E-2</v>
      </c>
      <c r="Q421" t="str" cm="1">
        <f t="array" ref="Q421">_xlfn.IFS(P421&lt;0.2,"Stable",P421&lt;=0.5,"Moderate",P421&gt;0.5,"Highly veriable")</f>
        <v>Stable</v>
      </c>
      <c r="R421" s="1">
        <f t="shared" si="116"/>
        <v>63.245553203367592</v>
      </c>
      <c r="S421" s="1">
        <f t="shared" si="117"/>
        <v>82.645553203367598</v>
      </c>
      <c r="T421" s="1">
        <f t="shared" si="118"/>
        <v>605.35444679663237</v>
      </c>
      <c r="U421" t="str">
        <f t="shared" si="119"/>
        <v xml:space="preserve"> Safe</v>
      </c>
      <c r="V421">
        <f t="shared" si="120"/>
        <v>3384</v>
      </c>
      <c r="W421" s="9">
        <f t="shared" si="121"/>
        <v>270415.44</v>
      </c>
      <c r="Y421">
        <f t="shared" si="122"/>
        <v>6.0627195575681963E-4</v>
      </c>
      <c r="Z421" s="12">
        <f t="shared" si="132"/>
        <v>0.96689329747426367</v>
      </c>
      <c r="AA421" t="str">
        <f t="shared" si="123"/>
        <v>C</v>
      </c>
      <c r="AB421" t="str">
        <f t="shared" si="124"/>
        <v>X</v>
      </c>
      <c r="AC421" t="str">
        <f t="shared" si="125"/>
        <v>CX</v>
      </c>
      <c r="AD421" t="str">
        <f t="shared" si="126"/>
        <v>Simplified Bulk Control</v>
      </c>
      <c r="AE421" t="str">
        <f t="shared" si="127"/>
        <v>Monthly</v>
      </c>
      <c r="AF421" t="str">
        <f t="shared" si="128"/>
        <v>Bulk Ordering</v>
      </c>
      <c r="AG421" t="str">
        <f t="shared" si="129"/>
        <v>Low</v>
      </c>
      <c r="AH421">
        <f t="shared" si="130"/>
        <v>40</v>
      </c>
      <c r="AI421" t="str">
        <f t="shared" si="131"/>
        <v>Low</v>
      </c>
    </row>
    <row r="422" spans="1:35">
      <c r="A422" t="s">
        <v>441</v>
      </c>
      <c r="B422" t="s">
        <v>36</v>
      </c>
      <c r="C422" t="s">
        <v>15</v>
      </c>
      <c r="D422" t="s">
        <v>41</v>
      </c>
      <c r="E422">
        <v>36</v>
      </c>
      <c r="F422">
        <v>258</v>
      </c>
      <c r="G422">
        <v>98</v>
      </c>
      <c r="H422">
        <v>2</v>
      </c>
      <c r="I422">
        <v>86.68</v>
      </c>
      <c r="J422">
        <v>7.0000000000000007E-2</v>
      </c>
      <c r="K422">
        <v>112</v>
      </c>
      <c r="L422">
        <v>0.72</v>
      </c>
      <c r="M422">
        <v>7</v>
      </c>
      <c r="N422" s="1">
        <f t="shared" si="114"/>
        <v>8.6</v>
      </c>
      <c r="O422" s="1">
        <f>N422*(1+Control_Panel!$B$2)</f>
        <v>8.6</v>
      </c>
      <c r="P422" s="12">
        <f t="shared" si="115"/>
        <v>0.37984496124031009</v>
      </c>
      <c r="Q422" t="str" cm="1">
        <f t="array" ref="Q422">_xlfn.IFS(P422&lt;0.2,"Stable",P422&lt;=0.5,"Moderate",P422&gt;0.5,"Highly veriable")</f>
        <v>Moderate</v>
      </c>
      <c r="R422" s="1">
        <f t="shared" si="116"/>
        <v>138.59292911256333</v>
      </c>
      <c r="S422" s="1">
        <f t="shared" si="117"/>
        <v>149.19292911256332</v>
      </c>
      <c r="T422" s="1">
        <f t="shared" si="118"/>
        <v>-113.19292911256332</v>
      </c>
      <c r="U422" t="str">
        <f t="shared" si="119"/>
        <v xml:space="preserve"> Need to Order</v>
      </c>
      <c r="V422">
        <f t="shared" si="120"/>
        <v>3096</v>
      </c>
      <c r="W422" s="9">
        <f t="shared" si="121"/>
        <v>268361.28000000003</v>
      </c>
      <c r="Y422">
        <f t="shared" si="122"/>
        <v>6.0166652494030482E-4</v>
      </c>
      <c r="Z422" s="12">
        <f t="shared" si="132"/>
        <v>0.96749496399920398</v>
      </c>
      <c r="AA422" t="str">
        <f t="shared" si="123"/>
        <v>C</v>
      </c>
      <c r="AB422" t="str">
        <f t="shared" si="124"/>
        <v>Y</v>
      </c>
      <c r="AC422" t="str">
        <f t="shared" si="125"/>
        <v>CY</v>
      </c>
      <c r="AD422" t="str">
        <f t="shared" si="126"/>
        <v>Low-Priority Monitoring</v>
      </c>
      <c r="AE422" t="str">
        <f t="shared" si="127"/>
        <v>Monthly Review</v>
      </c>
      <c r="AF422" t="str">
        <f t="shared" si="128"/>
        <v>Low Priority Monitoring</v>
      </c>
      <c r="AG422" t="str">
        <f t="shared" si="129"/>
        <v>Low</v>
      </c>
      <c r="AH422">
        <f t="shared" si="130"/>
        <v>40</v>
      </c>
      <c r="AI422" t="str">
        <f t="shared" si="131"/>
        <v>Low</v>
      </c>
    </row>
    <row r="423" spans="1:35">
      <c r="A423" t="s">
        <v>468</v>
      </c>
      <c r="B423" t="s">
        <v>34</v>
      </c>
      <c r="C423" t="s">
        <v>15</v>
      </c>
      <c r="D423" t="s">
        <v>16</v>
      </c>
      <c r="E423">
        <v>537</v>
      </c>
      <c r="F423">
        <v>193</v>
      </c>
      <c r="G423">
        <v>60</v>
      </c>
      <c r="H423">
        <v>19</v>
      </c>
      <c r="I423">
        <v>113.93</v>
      </c>
      <c r="J423">
        <v>0.14000000000000001</v>
      </c>
      <c r="K423">
        <v>594</v>
      </c>
      <c r="L423">
        <v>0.9</v>
      </c>
      <c r="M423">
        <v>7</v>
      </c>
      <c r="N423" s="1">
        <f t="shared" si="114"/>
        <v>6.4333333333333336</v>
      </c>
      <c r="O423" s="1">
        <f>N423*(1+Control_Panel!$B$2)</f>
        <v>6.4333333333333336</v>
      </c>
      <c r="P423" s="12">
        <f t="shared" si="115"/>
        <v>0.31088082901554404</v>
      </c>
      <c r="Q423" t="str" cm="1">
        <f t="array" ref="Q423">_xlfn.IFS(P423&lt;0.2,"Stable",P423&lt;=0.5,"Moderate",P423&gt;0.5,"Highly veriable")</f>
        <v>Moderate</v>
      </c>
      <c r="R423" s="1">
        <f t="shared" si="116"/>
        <v>261.53393661244041</v>
      </c>
      <c r="S423" s="1">
        <f t="shared" si="117"/>
        <v>286.96726994577375</v>
      </c>
      <c r="T423" s="1">
        <f t="shared" si="118"/>
        <v>250.03273005422625</v>
      </c>
      <c r="U423" t="str">
        <f t="shared" si="119"/>
        <v xml:space="preserve"> Risk</v>
      </c>
      <c r="V423">
        <f t="shared" si="120"/>
        <v>2316</v>
      </c>
      <c r="W423" s="9">
        <f t="shared" si="121"/>
        <v>263861.88</v>
      </c>
      <c r="Y423">
        <f t="shared" si="122"/>
        <v>5.9157886116736251E-4</v>
      </c>
      <c r="Z423" s="12">
        <f t="shared" si="132"/>
        <v>0.96808654286037132</v>
      </c>
      <c r="AA423" t="str">
        <f t="shared" si="123"/>
        <v>C</v>
      </c>
      <c r="AB423" t="str">
        <f t="shared" si="124"/>
        <v>Y</v>
      </c>
      <c r="AC423" t="str">
        <f t="shared" si="125"/>
        <v>CY</v>
      </c>
      <c r="AD423" t="str">
        <f t="shared" si="126"/>
        <v>Low-Priority Monitoring</v>
      </c>
      <c r="AE423" t="str">
        <f t="shared" si="127"/>
        <v>Monthly Review</v>
      </c>
      <c r="AF423" t="str">
        <f t="shared" si="128"/>
        <v>Low Priority Monitoring</v>
      </c>
      <c r="AG423" t="str">
        <f t="shared" si="129"/>
        <v>Low</v>
      </c>
      <c r="AH423">
        <f t="shared" si="130"/>
        <v>40</v>
      </c>
      <c r="AI423" t="str">
        <f t="shared" si="131"/>
        <v>Low</v>
      </c>
    </row>
    <row r="424" spans="1:35">
      <c r="A424" t="s">
        <v>71</v>
      </c>
      <c r="B424" t="s">
        <v>29</v>
      </c>
      <c r="C424" t="s">
        <v>22</v>
      </c>
      <c r="D424" t="s">
        <v>41</v>
      </c>
      <c r="E424">
        <v>130</v>
      </c>
      <c r="F424">
        <v>123</v>
      </c>
      <c r="G424">
        <v>50</v>
      </c>
      <c r="H424">
        <v>4</v>
      </c>
      <c r="I424">
        <v>176.64</v>
      </c>
      <c r="J424">
        <v>0.13</v>
      </c>
      <c r="K424">
        <v>606</v>
      </c>
      <c r="L424">
        <v>0.79</v>
      </c>
      <c r="M424">
        <v>1</v>
      </c>
      <c r="N424" s="1">
        <f t="shared" si="114"/>
        <v>4.0999999999999996</v>
      </c>
      <c r="O424" s="1">
        <f>N424*(1+Control_Panel!$B$2)</f>
        <v>4.0999999999999996</v>
      </c>
      <c r="P424" s="12">
        <f t="shared" si="115"/>
        <v>0.4065040650406504</v>
      </c>
      <c r="Q424" t="str" cm="1">
        <f t="array" ref="Q424">_xlfn.IFS(P424&lt;0.2,"Stable",P424&lt;=0.5,"Moderate",P424&gt;0.5,"Highly veriable")</f>
        <v>Moderate</v>
      </c>
      <c r="R424" s="1">
        <f t="shared" si="116"/>
        <v>100</v>
      </c>
      <c r="S424" s="1">
        <f t="shared" si="117"/>
        <v>108.1</v>
      </c>
      <c r="T424" s="1">
        <f t="shared" si="118"/>
        <v>21.900000000000006</v>
      </c>
      <c r="U424" t="str">
        <f t="shared" si="119"/>
        <v xml:space="preserve"> Risk</v>
      </c>
      <c r="V424">
        <f t="shared" si="120"/>
        <v>1476</v>
      </c>
      <c r="W424" s="9">
        <f t="shared" si="121"/>
        <v>260720.63999999998</v>
      </c>
      <c r="Y424">
        <f t="shared" si="122"/>
        <v>5.8453619482293499E-4</v>
      </c>
      <c r="Z424" s="12">
        <f t="shared" si="132"/>
        <v>0.96867107905519423</v>
      </c>
      <c r="AA424" t="str">
        <f t="shared" si="123"/>
        <v>C</v>
      </c>
      <c r="AB424" t="str">
        <f t="shared" si="124"/>
        <v>Y</v>
      </c>
      <c r="AC424" t="str">
        <f t="shared" si="125"/>
        <v>CY</v>
      </c>
      <c r="AD424" t="str">
        <f t="shared" si="126"/>
        <v>Low-Priority Monitoring</v>
      </c>
      <c r="AE424" t="str">
        <f t="shared" si="127"/>
        <v>Monthly Review</v>
      </c>
      <c r="AF424" t="str">
        <f t="shared" si="128"/>
        <v>Low Priority Monitoring</v>
      </c>
      <c r="AG424" t="str">
        <f t="shared" si="129"/>
        <v>Low</v>
      </c>
      <c r="AH424">
        <f t="shared" si="130"/>
        <v>30</v>
      </c>
      <c r="AI424" t="str">
        <f t="shared" si="131"/>
        <v>Low</v>
      </c>
    </row>
    <row r="425" spans="1:35">
      <c r="A425" t="s">
        <v>414</v>
      </c>
      <c r="B425" t="s">
        <v>40</v>
      </c>
      <c r="C425" t="s">
        <v>15</v>
      </c>
      <c r="D425" t="s">
        <v>41</v>
      </c>
      <c r="E425">
        <v>252</v>
      </c>
      <c r="F425">
        <v>167</v>
      </c>
      <c r="G425">
        <v>66</v>
      </c>
      <c r="H425">
        <v>17</v>
      </c>
      <c r="I425">
        <v>129.53</v>
      </c>
      <c r="J425">
        <v>0.12</v>
      </c>
      <c r="K425">
        <v>319</v>
      </c>
      <c r="L425">
        <v>0.8</v>
      </c>
      <c r="M425">
        <v>4</v>
      </c>
      <c r="N425" s="1">
        <f t="shared" si="114"/>
        <v>5.5666666666666664</v>
      </c>
      <c r="O425" s="1">
        <f>N425*(1+Control_Panel!$B$2)</f>
        <v>5.5666666666666664</v>
      </c>
      <c r="P425" s="12">
        <f t="shared" si="115"/>
        <v>0.39520958083832336</v>
      </c>
      <c r="Q425" t="str" cm="1">
        <f t="array" ref="Q425">_xlfn.IFS(P425&lt;0.2,"Stable",P425&lt;=0.5,"Moderate",P425&gt;0.5,"Highly veriable")</f>
        <v>Moderate</v>
      </c>
      <c r="R425" s="1">
        <f t="shared" si="116"/>
        <v>272.12497129076559</v>
      </c>
      <c r="S425" s="1">
        <f t="shared" si="117"/>
        <v>294.69163795743225</v>
      </c>
      <c r="T425" s="1">
        <f t="shared" si="118"/>
        <v>-42.691637957432249</v>
      </c>
      <c r="U425" t="str">
        <f t="shared" si="119"/>
        <v xml:space="preserve"> Need to Order</v>
      </c>
      <c r="V425">
        <f t="shared" si="120"/>
        <v>2004</v>
      </c>
      <c r="W425" s="9">
        <f t="shared" si="121"/>
        <v>259578.12</v>
      </c>
      <c r="Y425">
        <f t="shared" si="122"/>
        <v>5.8197466270446105E-4</v>
      </c>
      <c r="Z425" s="12">
        <f t="shared" si="132"/>
        <v>0.96925305371789872</v>
      </c>
      <c r="AA425" t="str">
        <f t="shared" si="123"/>
        <v>C</v>
      </c>
      <c r="AB425" t="str">
        <f t="shared" si="124"/>
        <v>Y</v>
      </c>
      <c r="AC425" t="str">
        <f t="shared" si="125"/>
        <v>CY</v>
      </c>
      <c r="AD425" t="str">
        <f t="shared" si="126"/>
        <v>Low-Priority Monitoring</v>
      </c>
      <c r="AE425" t="str">
        <f t="shared" si="127"/>
        <v>Monthly Review</v>
      </c>
      <c r="AF425" t="str">
        <f t="shared" si="128"/>
        <v>Low Priority Monitoring</v>
      </c>
      <c r="AG425" t="str">
        <f t="shared" si="129"/>
        <v>Low</v>
      </c>
      <c r="AH425">
        <f t="shared" si="130"/>
        <v>30</v>
      </c>
      <c r="AI425" t="str">
        <f t="shared" si="131"/>
        <v>Low</v>
      </c>
    </row>
    <row r="426" spans="1:35">
      <c r="A426" t="s">
        <v>460</v>
      </c>
      <c r="B426" t="s">
        <v>14</v>
      </c>
      <c r="C426" t="s">
        <v>22</v>
      </c>
      <c r="D426" t="s">
        <v>25</v>
      </c>
      <c r="E426">
        <v>847</v>
      </c>
      <c r="F426">
        <v>57</v>
      </c>
      <c r="G426">
        <v>6</v>
      </c>
      <c r="H426">
        <v>26</v>
      </c>
      <c r="I426">
        <v>378.17</v>
      </c>
      <c r="J426">
        <v>0.17</v>
      </c>
      <c r="K426">
        <v>820</v>
      </c>
      <c r="L426">
        <v>0.73</v>
      </c>
      <c r="M426">
        <v>6</v>
      </c>
      <c r="N426" s="1">
        <f t="shared" si="114"/>
        <v>1.9</v>
      </c>
      <c r="O426" s="1">
        <f>N426*(1+Control_Panel!$B$2)</f>
        <v>1.9</v>
      </c>
      <c r="P426" s="12">
        <f t="shared" si="115"/>
        <v>0.10526315789473684</v>
      </c>
      <c r="Q426" t="str" cm="1">
        <f t="array" ref="Q426">_xlfn.IFS(P426&lt;0.2,"Stable",P426&lt;=0.5,"Moderate",P426&gt;0.5,"Highly veriable")</f>
        <v>Stable</v>
      </c>
      <c r="R426" s="1">
        <f t="shared" si="116"/>
        <v>30.594117081556707</v>
      </c>
      <c r="S426" s="1">
        <f t="shared" si="117"/>
        <v>58.494117081556709</v>
      </c>
      <c r="T426" s="1">
        <f t="shared" si="118"/>
        <v>788.50588291844326</v>
      </c>
      <c r="U426" t="str">
        <f t="shared" si="119"/>
        <v xml:space="preserve"> Safe</v>
      </c>
      <c r="V426">
        <f t="shared" si="120"/>
        <v>684</v>
      </c>
      <c r="W426" s="9">
        <f t="shared" si="121"/>
        <v>258668.28</v>
      </c>
      <c r="Y426">
        <f t="shared" si="122"/>
        <v>5.7993479961000987E-4</v>
      </c>
      <c r="Z426" s="12">
        <f t="shared" si="132"/>
        <v>0.96983298851750877</v>
      </c>
      <c r="AA426" t="str">
        <f t="shared" si="123"/>
        <v>C</v>
      </c>
      <c r="AB426" t="str">
        <f t="shared" si="124"/>
        <v>X</v>
      </c>
      <c r="AC426" t="str">
        <f t="shared" si="125"/>
        <v>CX</v>
      </c>
      <c r="AD426" t="str">
        <f t="shared" si="126"/>
        <v>Simplified Bulk Control</v>
      </c>
      <c r="AE426" t="str">
        <f t="shared" si="127"/>
        <v>Monthly</v>
      </c>
      <c r="AF426" t="str">
        <f t="shared" si="128"/>
        <v>Bulk Ordering</v>
      </c>
      <c r="AG426" t="str">
        <f t="shared" si="129"/>
        <v>Low</v>
      </c>
      <c r="AH426">
        <f t="shared" si="130"/>
        <v>40</v>
      </c>
      <c r="AI426" t="str">
        <f t="shared" si="131"/>
        <v>Low</v>
      </c>
    </row>
    <row r="427" spans="1:35">
      <c r="A427" t="s">
        <v>268</v>
      </c>
      <c r="B427" t="s">
        <v>40</v>
      </c>
      <c r="C427" t="s">
        <v>22</v>
      </c>
      <c r="D427" t="s">
        <v>16</v>
      </c>
      <c r="E427">
        <v>333</v>
      </c>
      <c r="F427">
        <v>83</v>
      </c>
      <c r="G427">
        <v>39</v>
      </c>
      <c r="H427">
        <v>30</v>
      </c>
      <c r="I427">
        <v>257.83</v>
      </c>
      <c r="J427">
        <v>0.09</v>
      </c>
      <c r="K427">
        <v>692</v>
      </c>
      <c r="L427">
        <v>0.81</v>
      </c>
      <c r="M427">
        <v>7</v>
      </c>
      <c r="N427" s="1">
        <f t="shared" si="114"/>
        <v>2.7666666666666666</v>
      </c>
      <c r="O427" s="1">
        <f>N427*(1+Control_Panel!$B$2)</f>
        <v>2.7666666666666666</v>
      </c>
      <c r="P427" s="12">
        <f t="shared" si="115"/>
        <v>0.46987951807228917</v>
      </c>
      <c r="Q427" t="str" cm="1">
        <f t="array" ref="Q427">_xlfn.IFS(P427&lt;0.2,"Stable",P427&lt;=0.5,"Moderate",P427&gt;0.5,"Highly veriable")</f>
        <v>Moderate</v>
      </c>
      <c r="R427" s="1">
        <f t="shared" si="116"/>
        <v>213.61179742701478</v>
      </c>
      <c r="S427" s="1">
        <f t="shared" si="117"/>
        <v>246.37846409368143</v>
      </c>
      <c r="T427" s="1">
        <f t="shared" si="118"/>
        <v>86.62153590631857</v>
      </c>
      <c r="U427" t="str">
        <f t="shared" si="119"/>
        <v xml:space="preserve"> Risk</v>
      </c>
      <c r="V427">
        <f t="shared" si="120"/>
        <v>996</v>
      </c>
      <c r="W427" s="9">
        <f t="shared" si="121"/>
        <v>256798.68</v>
      </c>
      <c r="Y427">
        <f t="shared" si="122"/>
        <v>5.7574315268155434E-4</v>
      </c>
      <c r="Z427" s="12">
        <f t="shared" si="132"/>
        <v>0.97040873167019037</v>
      </c>
      <c r="AA427" t="str">
        <f t="shared" si="123"/>
        <v>C</v>
      </c>
      <c r="AB427" t="str">
        <f t="shared" si="124"/>
        <v>Y</v>
      </c>
      <c r="AC427" t="str">
        <f t="shared" si="125"/>
        <v>CY</v>
      </c>
      <c r="AD427" t="str">
        <f t="shared" si="126"/>
        <v>Low-Priority Monitoring</v>
      </c>
      <c r="AE427" t="str">
        <f t="shared" si="127"/>
        <v>Monthly Review</v>
      </c>
      <c r="AF427" t="str">
        <f t="shared" si="128"/>
        <v>Low Priority Monitoring</v>
      </c>
      <c r="AG427" t="str">
        <f t="shared" si="129"/>
        <v>Low</v>
      </c>
      <c r="AH427">
        <f t="shared" si="130"/>
        <v>40</v>
      </c>
      <c r="AI427" t="str">
        <f t="shared" si="131"/>
        <v>Low</v>
      </c>
    </row>
    <row r="428" spans="1:35">
      <c r="A428" t="s">
        <v>104</v>
      </c>
      <c r="B428" t="s">
        <v>21</v>
      </c>
      <c r="C428" t="s">
        <v>22</v>
      </c>
      <c r="D428" t="s">
        <v>19</v>
      </c>
      <c r="E428">
        <v>820</v>
      </c>
      <c r="F428">
        <v>286</v>
      </c>
      <c r="G428">
        <v>18</v>
      </c>
      <c r="H428">
        <v>21</v>
      </c>
      <c r="I428">
        <v>74.73</v>
      </c>
      <c r="J428">
        <v>0.1</v>
      </c>
      <c r="K428">
        <v>186</v>
      </c>
      <c r="L428">
        <v>0.82</v>
      </c>
      <c r="M428">
        <v>8</v>
      </c>
      <c r="N428" s="1">
        <f t="shared" si="114"/>
        <v>9.5333333333333332</v>
      </c>
      <c r="O428" s="1">
        <f>N428*(1+Control_Panel!$B$2)</f>
        <v>9.5333333333333332</v>
      </c>
      <c r="P428" s="12">
        <f t="shared" si="115"/>
        <v>6.2937062937062943E-2</v>
      </c>
      <c r="Q428" t="str" cm="1">
        <f t="array" ref="Q428">_xlfn.IFS(P428&lt;0.2,"Stable",P428&lt;=0.5,"Moderate",P428&gt;0.5,"Highly veriable")</f>
        <v>Stable</v>
      </c>
      <c r="R428" s="1">
        <f t="shared" si="116"/>
        <v>82.486362509205122</v>
      </c>
      <c r="S428" s="1">
        <f t="shared" si="117"/>
        <v>113.01969584253845</v>
      </c>
      <c r="T428" s="1">
        <f t="shared" si="118"/>
        <v>706.98030415746155</v>
      </c>
      <c r="U428" t="str">
        <f t="shared" si="119"/>
        <v xml:space="preserve"> Safe</v>
      </c>
      <c r="V428">
        <f t="shared" si="120"/>
        <v>3432</v>
      </c>
      <c r="W428" s="9">
        <f t="shared" si="121"/>
        <v>256473.36000000002</v>
      </c>
      <c r="Y428">
        <f t="shared" si="122"/>
        <v>5.7501378459278395E-4</v>
      </c>
      <c r="Z428" s="12">
        <f t="shared" si="132"/>
        <v>0.97098374545478316</v>
      </c>
      <c r="AA428" t="str">
        <f t="shared" si="123"/>
        <v>C</v>
      </c>
      <c r="AB428" t="str">
        <f t="shared" si="124"/>
        <v>X</v>
      </c>
      <c r="AC428" t="str">
        <f t="shared" si="125"/>
        <v>CX</v>
      </c>
      <c r="AD428" t="str">
        <f t="shared" si="126"/>
        <v>Simplified Bulk Control</v>
      </c>
      <c r="AE428" t="str">
        <f t="shared" si="127"/>
        <v>Monthly</v>
      </c>
      <c r="AF428" t="str">
        <f t="shared" si="128"/>
        <v>Bulk Ordering</v>
      </c>
      <c r="AG428" t="str">
        <f t="shared" si="129"/>
        <v>Low</v>
      </c>
      <c r="AH428">
        <f t="shared" si="130"/>
        <v>50</v>
      </c>
      <c r="AI428" t="str">
        <f t="shared" si="131"/>
        <v>Medium</v>
      </c>
    </row>
    <row r="429" spans="1:35">
      <c r="A429" t="s">
        <v>72</v>
      </c>
      <c r="B429" t="s">
        <v>38</v>
      </c>
      <c r="C429" t="s">
        <v>22</v>
      </c>
      <c r="D429" t="s">
        <v>16</v>
      </c>
      <c r="E429">
        <v>321</v>
      </c>
      <c r="F429">
        <v>68</v>
      </c>
      <c r="G429">
        <v>56</v>
      </c>
      <c r="H429">
        <v>8</v>
      </c>
      <c r="I429">
        <v>313.82</v>
      </c>
      <c r="J429">
        <v>0.11</v>
      </c>
      <c r="K429">
        <v>157</v>
      </c>
      <c r="L429">
        <v>0.84</v>
      </c>
      <c r="M429">
        <v>5</v>
      </c>
      <c r="N429" s="1">
        <f t="shared" si="114"/>
        <v>2.2666666666666666</v>
      </c>
      <c r="O429" s="1">
        <f>N429*(1+Control_Panel!$B$2)</f>
        <v>2.2666666666666666</v>
      </c>
      <c r="P429" s="12">
        <f t="shared" si="115"/>
        <v>0.82352941176470584</v>
      </c>
      <c r="Q429" t="str" cm="1">
        <f t="array" ref="Q429">_xlfn.IFS(P429&lt;0.2,"Stable",P429&lt;=0.5,"Moderate",P429&gt;0.5,"Highly veriable")</f>
        <v>Highly veriable</v>
      </c>
      <c r="R429" s="1">
        <f t="shared" si="116"/>
        <v>158.39191898578665</v>
      </c>
      <c r="S429" s="1">
        <f t="shared" si="117"/>
        <v>168.65858565245333</v>
      </c>
      <c r="T429" s="1">
        <f t="shared" si="118"/>
        <v>152.34141434754667</v>
      </c>
      <c r="U429" t="str">
        <f t="shared" si="119"/>
        <v xml:space="preserve"> Risk</v>
      </c>
      <c r="V429">
        <f t="shared" si="120"/>
        <v>816</v>
      </c>
      <c r="W429" s="9">
        <f t="shared" si="121"/>
        <v>256077.12</v>
      </c>
      <c r="Y429">
        <f t="shared" si="122"/>
        <v>5.7412541372258102E-4</v>
      </c>
      <c r="Z429" s="12">
        <f t="shared" si="132"/>
        <v>0.97155787086850576</v>
      </c>
      <c r="AA429" t="str">
        <f t="shared" si="123"/>
        <v>C</v>
      </c>
      <c r="AB429" t="str">
        <f t="shared" si="124"/>
        <v>Z</v>
      </c>
      <c r="AC429" t="str">
        <f t="shared" si="125"/>
        <v>CZ</v>
      </c>
      <c r="AD429" t="str">
        <f t="shared" si="126"/>
        <v>Minimal Control</v>
      </c>
      <c r="AE429" t="str">
        <f t="shared" si="127"/>
        <v>Quarterly</v>
      </c>
      <c r="AF429" t="str">
        <f t="shared" si="128"/>
        <v>Reduce Inventory Exposure</v>
      </c>
      <c r="AG429" t="str">
        <f t="shared" si="129"/>
        <v>Low</v>
      </c>
      <c r="AH429">
        <f t="shared" si="130"/>
        <v>40</v>
      </c>
      <c r="AI429" t="str">
        <f t="shared" si="131"/>
        <v>Low</v>
      </c>
    </row>
    <row r="430" spans="1:35">
      <c r="A430" t="s">
        <v>311</v>
      </c>
      <c r="B430" t="s">
        <v>29</v>
      </c>
      <c r="C430" t="s">
        <v>22</v>
      </c>
      <c r="D430" t="s">
        <v>19</v>
      </c>
      <c r="E430">
        <v>615</v>
      </c>
      <c r="F430">
        <v>87</v>
      </c>
      <c r="G430">
        <v>21</v>
      </c>
      <c r="H430">
        <v>6</v>
      </c>
      <c r="I430">
        <v>243.66</v>
      </c>
      <c r="J430">
        <v>0.06</v>
      </c>
      <c r="K430">
        <v>147</v>
      </c>
      <c r="L430">
        <v>0.74</v>
      </c>
      <c r="M430">
        <v>7</v>
      </c>
      <c r="N430" s="1">
        <f t="shared" si="114"/>
        <v>2.9</v>
      </c>
      <c r="O430" s="1">
        <f>N430*(1+Control_Panel!$B$2)</f>
        <v>2.9</v>
      </c>
      <c r="P430" s="12">
        <f t="shared" si="115"/>
        <v>0.2413793103448276</v>
      </c>
      <c r="Q430" t="str" cm="1">
        <f t="array" ref="Q430">_xlfn.IFS(P430&lt;0.2,"Stable",P430&lt;=0.5,"Moderate",P430&gt;0.5,"Highly veriable")</f>
        <v>Moderate</v>
      </c>
      <c r="R430" s="1">
        <f t="shared" si="116"/>
        <v>51.439284598446733</v>
      </c>
      <c r="S430" s="1">
        <f t="shared" si="117"/>
        <v>60.339284598446731</v>
      </c>
      <c r="T430" s="1">
        <f t="shared" si="118"/>
        <v>554.66071540155326</v>
      </c>
      <c r="U430" t="str">
        <f t="shared" si="119"/>
        <v xml:space="preserve"> Safe</v>
      </c>
      <c r="V430">
        <f t="shared" si="120"/>
        <v>1044</v>
      </c>
      <c r="W430" s="9">
        <f t="shared" si="121"/>
        <v>254381.04</v>
      </c>
      <c r="Y430">
        <f t="shared" si="122"/>
        <v>5.7032279898016833E-4</v>
      </c>
      <c r="Z430" s="12">
        <f t="shared" si="132"/>
        <v>0.97212819366748593</v>
      </c>
      <c r="AA430" t="str">
        <f t="shared" si="123"/>
        <v>C</v>
      </c>
      <c r="AB430" t="str">
        <f t="shared" si="124"/>
        <v>Y</v>
      </c>
      <c r="AC430" t="str">
        <f t="shared" si="125"/>
        <v>CY</v>
      </c>
      <c r="AD430" t="str">
        <f t="shared" si="126"/>
        <v>Low-Priority Monitoring</v>
      </c>
      <c r="AE430" t="str">
        <f t="shared" si="127"/>
        <v>Monthly Review</v>
      </c>
      <c r="AF430" t="str">
        <f t="shared" si="128"/>
        <v>Low Priority Monitoring</v>
      </c>
      <c r="AG430" t="str">
        <f t="shared" si="129"/>
        <v>Low</v>
      </c>
      <c r="AH430">
        <f t="shared" si="130"/>
        <v>40</v>
      </c>
      <c r="AI430" t="str">
        <f t="shared" si="131"/>
        <v>Low</v>
      </c>
    </row>
    <row r="431" spans="1:35">
      <c r="A431" t="s">
        <v>221</v>
      </c>
      <c r="B431" t="s">
        <v>36</v>
      </c>
      <c r="C431" t="s">
        <v>15</v>
      </c>
      <c r="D431" t="s">
        <v>19</v>
      </c>
      <c r="E431">
        <v>710</v>
      </c>
      <c r="F431">
        <v>50</v>
      </c>
      <c r="G431">
        <v>52</v>
      </c>
      <c r="H431">
        <v>2</v>
      </c>
      <c r="I431">
        <v>423.32</v>
      </c>
      <c r="J431">
        <v>0.09</v>
      </c>
      <c r="K431">
        <v>120</v>
      </c>
      <c r="L431">
        <v>0.88</v>
      </c>
      <c r="M431">
        <v>8</v>
      </c>
      <c r="N431" s="1">
        <f t="shared" si="114"/>
        <v>1.6666666666666667</v>
      </c>
      <c r="O431" s="1">
        <f>N431*(1+Control_Panel!$B$2)</f>
        <v>1.6666666666666667</v>
      </c>
      <c r="P431" s="12">
        <f t="shared" si="115"/>
        <v>1.04</v>
      </c>
      <c r="Q431" t="str" cm="1">
        <f t="array" ref="Q431">_xlfn.IFS(P431&lt;0.2,"Stable",P431&lt;=0.5,"Moderate",P431&gt;0.5,"Highly veriable")</f>
        <v>Highly veriable</v>
      </c>
      <c r="R431" s="1">
        <f t="shared" si="116"/>
        <v>73.539105243400954</v>
      </c>
      <c r="S431" s="1">
        <f t="shared" si="117"/>
        <v>77.205771910067625</v>
      </c>
      <c r="T431" s="1">
        <f t="shared" si="118"/>
        <v>632.7942280899324</v>
      </c>
      <c r="U431" t="str">
        <f t="shared" si="119"/>
        <v xml:space="preserve"> Safe</v>
      </c>
      <c r="V431">
        <f t="shared" si="120"/>
        <v>600</v>
      </c>
      <c r="W431" s="9">
        <f t="shared" si="121"/>
        <v>253992</v>
      </c>
      <c r="Y431">
        <f t="shared" si="122"/>
        <v>5.6945057052432406E-4</v>
      </c>
      <c r="Z431" s="12">
        <f t="shared" si="132"/>
        <v>0.97269764423801031</v>
      </c>
      <c r="AA431" t="str">
        <f t="shared" si="123"/>
        <v>C</v>
      </c>
      <c r="AB431" t="str">
        <f t="shared" si="124"/>
        <v>Z</v>
      </c>
      <c r="AC431" t="str">
        <f t="shared" si="125"/>
        <v>CZ</v>
      </c>
      <c r="AD431" t="str">
        <f t="shared" si="126"/>
        <v>Minimal Control</v>
      </c>
      <c r="AE431" t="str">
        <f t="shared" si="127"/>
        <v>Quarterly</v>
      </c>
      <c r="AF431" t="str">
        <f t="shared" si="128"/>
        <v>Reduce Inventory Exposure</v>
      </c>
      <c r="AG431" t="str">
        <f t="shared" si="129"/>
        <v>Low</v>
      </c>
      <c r="AH431">
        <f t="shared" si="130"/>
        <v>50</v>
      </c>
      <c r="AI431" t="str">
        <f t="shared" si="131"/>
        <v>Medium</v>
      </c>
    </row>
    <row r="432" spans="1:35">
      <c r="A432" t="s">
        <v>387</v>
      </c>
      <c r="B432" t="s">
        <v>18</v>
      </c>
      <c r="C432" t="s">
        <v>15</v>
      </c>
      <c r="D432" t="s">
        <v>19</v>
      </c>
      <c r="E432">
        <v>203</v>
      </c>
      <c r="F432">
        <v>235</v>
      </c>
      <c r="G432">
        <v>8</v>
      </c>
      <c r="H432">
        <v>13</v>
      </c>
      <c r="I432">
        <v>89.26</v>
      </c>
      <c r="J432">
        <v>0.21</v>
      </c>
      <c r="K432">
        <v>678</v>
      </c>
      <c r="L432">
        <v>0.72</v>
      </c>
      <c r="M432">
        <v>2</v>
      </c>
      <c r="N432" s="1">
        <f t="shared" si="114"/>
        <v>7.833333333333333</v>
      </c>
      <c r="O432" s="1">
        <f>N432*(1+Control_Panel!$B$2)</f>
        <v>7.833333333333333</v>
      </c>
      <c r="P432" s="12">
        <f t="shared" si="115"/>
        <v>3.4042553191489362E-2</v>
      </c>
      <c r="Q432" t="str" cm="1">
        <f t="array" ref="Q432">_xlfn.IFS(P432&lt;0.2,"Stable",P432&lt;=0.5,"Moderate",P432&gt;0.5,"Highly veriable")</f>
        <v>Stable</v>
      </c>
      <c r="R432" s="1">
        <f t="shared" si="116"/>
        <v>28.844410203711913</v>
      </c>
      <c r="S432" s="1">
        <f t="shared" si="117"/>
        <v>49.677743537045245</v>
      </c>
      <c r="T432" s="1">
        <f t="shared" si="118"/>
        <v>153.32225646295475</v>
      </c>
      <c r="U432" t="str">
        <f t="shared" si="119"/>
        <v xml:space="preserve"> Safe</v>
      </c>
      <c r="V432">
        <f t="shared" si="120"/>
        <v>2820</v>
      </c>
      <c r="W432" s="9">
        <f t="shared" si="121"/>
        <v>251713.2</v>
      </c>
      <c r="Y432">
        <f t="shared" si="122"/>
        <v>5.6434149637982027E-4</v>
      </c>
      <c r="Z432" s="12">
        <f t="shared" si="132"/>
        <v>0.97326198573439016</v>
      </c>
      <c r="AA432" t="str">
        <f t="shared" si="123"/>
        <v>C</v>
      </c>
      <c r="AB432" t="str">
        <f t="shared" si="124"/>
        <v>X</v>
      </c>
      <c r="AC432" t="str">
        <f t="shared" si="125"/>
        <v>CX</v>
      </c>
      <c r="AD432" t="str">
        <f t="shared" si="126"/>
        <v>Simplified Bulk Control</v>
      </c>
      <c r="AE432" t="str">
        <f t="shared" si="127"/>
        <v>Monthly</v>
      </c>
      <c r="AF432" t="str">
        <f t="shared" si="128"/>
        <v>Bulk Ordering</v>
      </c>
      <c r="AG432" t="str">
        <f t="shared" si="129"/>
        <v>Low</v>
      </c>
      <c r="AH432">
        <f t="shared" si="130"/>
        <v>30</v>
      </c>
      <c r="AI432" t="str">
        <f t="shared" si="131"/>
        <v>Low</v>
      </c>
    </row>
    <row r="433" spans="1:35">
      <c r="A433" t="s">
        <v>291</v>
      </c>
      <c r="B433" t="s">
        <v>14</v>
      </c>
      <c r="C433" t="s">
        <v>22</v>
      </c>
      <c r="D433" t="s">
        <v>25</v>
      </c>
      <c r="E433">
        <v>841</v>
      </c>
      <c r="F433">
        <v>62</v>
      </c>
      <c r="G433">
        <v>7</v>
      </c>
      <c r="H433">
        <v>6</v>
      </c>
      <c r="I433">
        <v>333.6</v>
      </c>
      <c r="J433">
        <v>0.14000000000000001</v>
      </c>
      <c r="K433">
        <v>689</v>
      </c>
      <c r="L433">
        <v>0.98</v>
      </c>
      <c r="M433">
        <v>9</v>
      </c>
      <c r="N433" s="1">
        <f t="shared" si="114"/>
        <v>2.0666666666666669</v>
      </c>
      <c r="O433" s="1">
        <f>N433*(1+Control_Panel!$B$2)</f>
        <v>2.0666666666666669</v>
      </c>
      <c r="P433" s="12">
        <f t="shared" si="115"/>
        <v>0.11290322580645161</v>
      </c>
      <c r="Q433" t="str" cm="1">
        <f t="array" ref="Q433">_xlfn.IFS(P433&lt;0.2,"Stable",P433&lt;=0.5,"Moderate",P433&gt;0.5,"Highly veriable")</f>
        <v>Stable</v>
      </c>
      <c r="R433" s="1">
        <f t="shared" si="116"/>
        <v>17.146428199482244</v>
      </c>
      <c r="S433" s="1">
        <f t="shared" si="117"/>
        <v>25.213094866148911</v>
      </c>
      <c r="T433" s="1">
        <f t="shared" si="118"/>
        <v>815.78690513385106</v>
      </c>
      <c r="U433" t="str">
        <f t="shared" si="119"/>
        <v xml:space="preserve"> Safe</v>
      </c>
      <c r="V433">
        <f t="shared" si="120"/>
        <v>744</v>
      </c>
      <c r="W433" s="9">
        <f t="shared" si="121"/>
        <v>248198.40000000002</v>
      </c>
      <c r="Y433">
        <f t="shared" si="122"/>
        <v>5.5646130777041957E-4</v>
      </c>
      <c r="Z433" s="12">
        <f t="shared" si="132"/>
        <v>0.97381844704216058</v>
      </c>
      <c r="AA433" t="str">
        <f t="shared" si="123"/>
        <v>C</v>
      </c>
      <c r="AB433" t="str">
        <f t="shared" si="124"/>
        <v>X</v>
      </c>
      <c r="AC433" t="str">
        <f t="shared" si="125"/>
        <v>CX</v>
      </c>
      <c r="AD433" t="str">
        <f t="shared" si="126"/>
        <v>Simplified Bulk Control</v>
      </c>
      <c r="AE433" t="str">
        <f t="shared" si="127"/>
        <v>Monthly</v>
      </c>
      <c r="AF433" t="str">
        <f t="shared" si="128"/>
        <v>Bulk Ordering</v>
      </c>
      <c r="AG433" t="str">
        <f t="shared" si="129"/>
        <v>Low</v>
      </c>
      <c r="AH433">
        <f t="shared" si="130"/>
        <v>50</v>
      </c>
      <c r="AI433" t="str">
        <f t="shared" si="131"/>
        <v>Medium</v>
      </c>
    </row>
    <row r="434" spans="1:35">
      <c r="A434" t="s">
        <v>99</v>
      </c>
      <c r="B434" t="s">
        <v>36</v>
      </c>
      <c r="C434" t="s">
        <v>15</v>
      </c>
      <c r="D434" t="s">
        <v>19</v>
      </c>
      <c r="E434">
        <v>560</v>
      </c>
      <c r="F434">
        <v>97</v>
      </c>
      <c r="G434">
        <v>73</v>
      </c>
      <c r="H434">
        <v>21</v>
      </c>
      <c r="I434">
        <v>212.37</v>
      </c>
      <c r="J434">
        <v>0.06</v>
      </c>
      <c r="K434">
        <v>146</v>
      </c>
      <c r="L434">
        <v>0.91</v>
      </c>
      <c r="M434">
        <v>7</v>
      </c>
      <c r="N434" s="1">
        <f t="shared" si="114"/>
        <v>3.2333333333333334</v>
      </c>
      <c r="O434" s="1">
        <f>N434*(1+Control_Panel!$B$2)</f>
        <v>3.2333333333333334</v>
      </c>
      <c r="P434" s="12">
        <f t="shared" si="115"/>
        <v>0.75257731958762886</v>
      </c>
      <c r="Q434" t="str" cm="1">
        <f t="array" ref="Q434">_xlfn.IFS(P434&lt;0.2,"Stable",P434&lt;=0.5,"Moderate",P434&gt;0.5,"Highly veriable")</f>
        <v>Highly veriable</v>
      </c>
      <c r="R434" s="1">
        <f t="shared" si="116"/>
        <v>334.52802573177632</v>
      </c>
      <c r="S434" s="1">
        <f t="shared" si="117"/>
        <v>358.76135906510967</v>
      </c>
      <c r="T434" s="1">
        <f t="shared" si="118"/>
        <v>201.23864093489033</v>
      </c>
      <c r="U434" t="str">
        <f t="shared" si="119"/>
        <v xml:space="preserve"> Risk</v>
      </c>
      <c r="V434">
        <f t="shared" si="120"/>
        <v>1164</v>
      </c>
      <c r="W434" s="9">
        <f t="shared" si="121"/>
        <v>247198.68</v>
      </c>
      <c r="Y434">
        <f t="shared" si="122"/>
        <v>5.5421993353672492E-4</v>
      </c>
      <c r="Z434" s="12">
        <f t="shared" si="132"/>
        <v>0.97437266697569735</v>
      </c>
      <c r="AA434" t="str">
        <f t="shared" si="123"/>
        <v>C</v>
      </c>
      <c r="AB434" t="str">
        <f t="shared" si="124"/>
        <v>Z</v>
      </c>
      <c r="AC434" t="str">
        <f t="shared" si="125"/>
        <v>CZ</v>
      </c>
      <c r="AD434" t="str">
        <f t="shared" si="126"/>
        <v>Minimal Control</v>
      </c>
      <c r="AE434" t="str">
        <f t="shared" si="127"/>
        <v>Quarterly</v>
      </c>
      <c r="AF434" t="str">
        <f t="shared" si="128"/>
        <v>Reduce Inventory Exposure</v>
      </c>
      <c r="AG434" t="str">
        <f t="shared" si="129"/>
        <v>Low</v>
      </c>
      <c r="AH434">
        <f t="shared" si="130"/>
        <v>40</v>
      </c>
      <c r="AI434" t="str">
        <f t="shared" si="131"/>
        <v>Low</v>
      </c>
    </row>
    <row r="435" spans="1:35">
      <c r="A435" t="s">
        <v>94</v>
      </c>
      <c r="B435" t="s">
        <v>14</v>
      </c>
      <c r="C435" t="s">
        <v>15</v>
      </c>
      <c r="D435" t="s">
        <v>23</v>
      </c>
      <c r="E435">
        <v>119</v>
      </c>
      <c r="F435">
        <v>309</v>
      </c>
      <c r="G435">
        <v>72</v>
      </c>
      <c r="H435">
        <v>5</v>
      </c>
      <c r="I435">
        <v>65.150000000000006</v>
      </c>
      <c r="J435">
        <v>0.21</v>
      </c>
      <c r="K435">
        <v>280</v>
      </c>
      <c r="L435">
        <v>1</v>
      </c>
      <c r="M435">
        <v>2</v>
      </c>
      <c r="N435" s="1">
        <f t="shared" si="114"/>
        <v>10.3</v>
      </c>
      <c r="O435" s="1">
        <f>N435*(1+Control_Panel!$B$2)</f>
        <v>10.3</v>
      </c>
      <c r="P435" s="12">
        <f t="shared" si="115"/>
        <v>0.23300970873786409</v>
      </c>
      <c r="Q435" t="str" cm="1">
        <f t="array" ref="Q435">_xlfn.IFS(P435&lt;0.2,"Stable",P435&lt;=0.5,"Moderate",P435&gt;0.5,"Highly veriable")</f>
        <v>Moderate</v>
      </c>
      <c r="R435" s="1">
        <f t="shared" si="116"/>
        <v>160.99689437998487</v>
      </c>
      <c r="S435" s="1">
        <f t="shared" si="117"/>
        <v>176.29689437998488</v>
      </c>
      <c r="T435" s="1">
        <f t="shared" si="118"/>
        <v>-57.296894379984877</v>
      </c>
      <c r="U435" t="str">
        <f t="shared" si="119"/>
        <v xml:space="preserve"> Need to Order</v>
      </c>
      <c r="V435">
        <f t="shared" si="120"/>
        <v>3708</v>
      </c>
      <c r="W435" s="9">
        <f t="shared" si="121"/>
        <v>241576.2</v>
      </c>
      <c r="Y435">
        <f t="shared" si="122"/>
        <v>5.4161432216407693E-4</v>
      </c>
      <c r="Z435" s="12">
        <f t="shared" si="132"/>
        <v>0.9749142812978614</v>
      </c>
      <c r="AA435" t="str">
        <f t="shared" si="123"/>
        <v>C</v>
      </c>
      <c r="AB435" t="str">
        <f t="shared" si="124"/>
        <v>Y</v>
      </c>
      <c r="AC435" t="str">
        <f t="shared" si="125"/>
        <v>CY</v>
      </c>
      <c r="AD435" t="str">
        <f t="shared" si="126"/>
        <v>Low-Priority Monitoring</v>
      </c>
      <c r="AE435" t="str">
        <f t="shared" si="127"/>
        <v>Monthly Review</v>
      </c>
      <c r="AF435" t="str">
        <f t="shared" si="128"/>
        <v>Low Priority Monitoring</v>
      </c>
      <c r="AG435" t="str">
        <f t="shared" si="129"/>
        <v>Low</v>
      </c>
      <c r="AH435">
        <f t="shared" si="130"/>
        <v>30</v>
      </c>
      <c r="AI435" t="str">
        <f t="shared" si="131"/>
        <v>Low</v>
      </c>
    </row>
    <row r="436" spans="1:35">
      <c r="A436" t="s">
        <v>184</v>
      </c>
      <c r="B436" t="s">
        <v>34</v>
      </c>
      <c r="C436" t="s">
        <v>15</v>
      </c>
      <c r="D436" t="s">
        <v>41</v>
      </c>
      <c r="E436">
        <v>912</v>
      </c>
      <c r="F436">
        <v>172</v>
      </c>
      <c r="G436">
        <v>65</v>
      </c>
      <c r="H436">
        <v>19</v>
      </c>
      <c r="I436">
        <v>116.82</v>
      </c>
      <c r="J436">
        <v>0.15</v>
      </c>
      <c r="K436">
        <v>597</v>
      </c>
      <c r="L436">
        <v>0.74</v>
      </c>
      <c r="M436">
        <v>3</v>
      </c>
      <c r="N436" s="1">
        <f t="shared" si="114"/>
        <v>5.7333333333333334</v>
      </c>
      <c r="O436" s="1">
        <f>N436*(1+Control_Panel!$B$2)</f>
        <v>5.7333333333333334</v>
      </c>
      <c r="P436" s="12">
        <f t="shared" si="115"/>
        <v>0.37790697674418605</v>
      </c>
      <c r="Q436" t="str" cm="1">
        <f t="array" ref="Q436">_xlfn.IFS(P436&lt;0.2,"Stable",P436&lt;=0.5,"Moderate",P436&gt;0.5,"Highly veriable")</f>
        <v>Moderate</v>
      </c>
      <c r="R436" s="1">
        <f t="shared" si="116"/>
        <v>283.32843133014381</v>
      </c>
      <c r="S436" s="1">
        <f t="shared" si="117"/>
        <v>308.06176466347716</v>
      </c>
      <c r="T436" s="1">
        <f t="shared" si="118"/>
        <v>603.93823533652289</v>
      </c>
      <c r="U436" t="str">
        <f t="shared" si="119"/>
        <v xml:space="preserve"> Safe</v>
      </c>
      <c r="V436">
        <f t="shared" si="120"/>
        <v>2064</v>
      </c>
      <c r="W436" s="9">
        <f t="shared" si="121"/>
        <v>241116.47999999998</v>
      </c>
      <c r="Y436">
        <f t="shared" si="122"/>
        <v>5.4058362900727885E-4</v>
      </c>
      <c r="Z436" s="12">
        <f t="shared" si="132"/>
        <v>0.97545486492686873</v>
      </c>
      <c r="AA436" t="str">
        <f t="shared" si="123"/>
        <v>C</v>
      </c>
      <c r="AB436" t="str">
        <f t="shared" si="124"/>
        <v>Y</v>
      </c>
      <c r="AC436" t="str">
        <f t="shared" si="125"/>
        <v>CY</v>
      </c>
      <c r="AD436" t="str">
        <f t="shared" si="126"/>
        <v>Low-Priority Monitoring</v>
      </c>
      <c r="AE436" t="str">
        <f t="shared" si="127"/>
        <v>Monthly Review</v>
      </c>
      <c r="AF436" t="str">
        <f t="shared" si="128"/>
        <v>Low Priority Monitoring</v>
      </c>
      <c r="AG436" t="str">
        <f t="shared" si="129"/>
        <v>Low</v>
      </c>
      <c r="AH436">
        <f t="shared" si="130"/>
        <v>30</v>
      </c>
      <c r="AI436" t="str">
        <f t="shared" si="131"/>
        <v>Low</v>
      </c>
    </row>
    <row r="437" spans="1:35">
      <c r="A437" t="s">
        <v>154</v>
      </c>
      <c r="B437" t="s">
        <v>34</v>
      </c>
      <c r="C437" t="s">
        <v>15</v>
      </c>
      <c r="D437" t="s">
        <v>41</v>
      </c>
      <c r="E437">
        <v>331</v>
      </c>
      <c r="F437">
        <v>60</v>
      </c>
      <c r="G437">
        <v>96</v>
      </c>
      <c r="H437">
        <v>1</v>
      </c>
      <c r="I437">
        <v>333.43</v>
      </c>
      <c r="J437">
        <v>0.06</v>
      </c>
      <c r="K437">
        <v>640</v>
      </c>
      <c r="L437">
        <v>0.83</v>
      </c>
      <c r="M437">
        <v>3</v>
      </c>
      <c r="N437" s="1">
        <f t="shared" si="114"/>
        <v>2</v>
      </c>
      <c r="O437" s="1">
        <f>N437*(1+Control_Panel!$B$2)</f>
        <v>2</v>
      </c>
      <c r="P437" s="12">
        <f t="shared" si="115"/>
        <v>1.6</v>
      </c>
      <c r="Q437" t="str" cm="1">
        <f t="array" ref="Q437">_xlfn.IFS(P437&lt;0.2,"Stable",P437&lt;=0.5,"Moderate",P437&gt;0.5,"Highly veriable")</f>
        <v>Highly veriable</v>
      </c>
      <c r="R437" s="1">
        <f t="shared" si="116"/>
        <v>96</v>
      </c>
      <c r="S437" s="1">
        <f t="shared" si="117"/>
        <v>99</v>
      </c>
      <c r="T437" s="1">
        <f t="shared" si="118"/>
        <v>232</v>
      </c>
      <c r="U437" t="str">
        <f t="shared" si="119"/>
        <v xml:space="preserve"> Safe</v>
      </c>
      <c r="V437">
        <f t="shared" si="120"/>
        <v>720</v>
      </c>
      <c r="W437" s="9">
        <f t="shared" si="121"/>
        <v>240069.6</v>
      </c>
      <c r="Y437">
        <f t="shared" si="122"/>
        <v>5.3823652195953526E-4</v>
      </c>
      <c r="Z437" s="12">
        <f t="shared" si="132"/>
        <v>0.97599310144882823</v>
      </c>
      <c r="AA437" t="str">
        <f t="shared" si="123"/>
        <v>C</v>
      </c>
      <c r="AB437" t="str">
        <f t="shared" si="124"/>
        <v>Z</v>
      </c>
      <c r="AC437" t="str">
        <f t="shared" si="125"/>
        <v>CZ</v>
      </c>
      <c r="AD437" t="str">
        <f t="shared" si="126"/>
        <v>Minimal Control</v>
      </c>
      <c r="AE437" t="str">
        <f t="shared" si="127"/>
        <v>Quarterly</v>
      </c>
      <c r="AF437" t="str">
        <f t="shared" si="128"/>
        <v>Reduce Inventory Exposure</v>
      </c>
      <c r="AG437" t="str">
        <f t="shared" si="129"/>
        <v>Low</v>
      </c>
      <c r="AH437">
        <f t="shared" si="130"/>
        <v>30</v>
      </c>
      <c r="AI437" t="str">
        <f t="shared" si="131"/>
        <v>Low</v>
      </c>
    </row>
    <row r="438" spans="1:35">
      <c r="A438" t="s">
        <v>199</v>
      </c>
      <c r="B438" t="s">
        <v>18</v>
      </c>
      <c r="C438" t="s">
        <v>22</v>
      </c>
      <c r="D438" t="s">
        <v>41</v>
      </c>
      <c r="E438">
        <v>227</v>
      </c>
      <c r="F438">
        <v>223</v>
      </c>
      <c r="G438">
        <v>93</v>
      </c>
      <c r="H438">
        <v>21</v>
      </c>
      <c r="I438">
        <v>89.5</v>
      </c>
      <c r="J438">
        <v>0.1</v>
      </c>
      <c r="K438">
        <v>634</v>
      </c>
      <c r="L438">
        <v>0.86</v>
      </c>
      <c r="M438">
        <v>2</v>
      </c>
      <c r="N438" s="1">
        <f t="shared" si="114"/>
        <v>7.4333333333333336</v>
      </c>
      <c r="O438" s="1">
        <f>N438*(1+Control_Panel!$B$2)</f>
        <v>7.4333333333333336</v>
      </c>
      <c r="P438" s="12">
        <f t="shared" si="115"/>
        <v>0.4170403587443946</v>
      </c>
      <c r="Q438" t="str" cm="1">
        <f t="array" ref="Q438">_xlfn.IFS(P438&lt;0.2,"Stable",P438&lt;=0.5,"Moderate",P438&gt;0.5,"Highly veriable")</f>
        <v>Moderate</v>
      </c>
      <c r="R438" s="1">
        <f t="shared" si="116"/>
        <v>426.17953963089309</v>
      </c>
      <c r="S438" s="1">
        <f t="shared" si="117"/>
        <v>454.61287296422643</v>
      </c>
      <c r="T438" s="1">
        <f t="shared" si="118"/>
        <v>-227.61287296422643</v>
      </c>
      <c r="U438" t="str">
        <f t="shared" si="119"/>
        <v xml:space="preserve"> Need to Order</v>
      </c>
      <c r="V438">
        <f t="shared" si="120"/>
        <v>2676</v>
      </c>
      <c r="W438" s="9">
        <f t="shared" si="121"/>
        <v>239502</v>
      </c>
      <c r="Y438">
        <f t="shared" si="122"/>
        <v>5.3696396162759721E-4</v>
      </c>
      <c r="Z438" s="12">
        <f t="shared" si="132"/>
        <v>0.97653006541045584</v>
      </c>
      <c r="AA438" t="str">
        <f t="shared" si="123"/>
        <v>C</v>
      </c>
      <c r="AB438" t="str">
        <f t="shared" si="124"/>
        <v>Y</v>
      </c>
      <c r="AC438" t="str">
        <f t="shared" si="125"/>
        <v>CY</v>
      </c>
      <c r="AD438" t="str">
        <f t="shared" si="126"/>
        <v>Low-Priority Monitoring</v>
      </c>
      <c r="AE438" t="str">
        <f t="shared" si="127"/>
        <v>Monthly Review</v>
      </c>
      <c r="AF438" t="str">
        <f t="shared" si="128"/>
        <v>Low Priority Monitoring</v>
      </c>
      <c r="AG438" t="str">
        <f t="shared" si="129"/>
        <v>Low</v>
      </c>
      <c r="AH438">
        <f t="shared" si="130"/>
        <v>30</v>
      </c>
      <c r="AI438" t="str">
        <f t="shared" si="131"/>
        <v>Low</v>
      </c>
    </row>
    <row r="439" spans="1:35">
      <c r="A439" t="s">
        <v>240</v>
      </c>
      <c r="B439" t="s">
        <v>38</v>
      </c>
      <c r="C439" t="s">
        <v>22</v>
      </c>
      <c r="D439" t="s">
        <v>23</v>
      </c>
      <c r="E439">
        <v>173</v>
      </c>
      <c r="F439">
        <v>295</v>
      </c>
      <c r="G439">
        <v>30</v>
      </c>
      <c r="H439">
        <v>24</v>
      </c>
      <c r="I439">
        <v>66.58</v>
      </c>
      <c r="J439">
        <v>0.11</v>
      </c>
      <c r="K439">
        <v>932</v>
      </c>
      <c r="L439">
        <v>0.72</v>
      </c>
      <c r="M439">
        <v>5</v>
      </c>
      <c r="N439" s="1">
        <f t="shared" si="114"/>
        <v>9.8333333333333339</v>
      </c>
      <c r="O439" s="1">
        <f>N439*(1+Control_Panel!$B$2)</f>
        <v>9.8333333333333339</v>
      </c>
      <c r="P439" s="12">
        <f t="shared" si="115"/>
        <v>0.10169491525423729</v>
      </c>
      <c r="Q439" t="str" cm="1">
        <f t="array" ref="Q439">_xlfn.IFS(P439&lt;0.2,"Stable",P439&lt;=0.5,"Moderate",P439&gt;0.5,"Highly veriable")</f>
        <v>Stable</v>
      </c>
      <c r="R439" s="1">
        <f t="shared" si="116"/>
        <v>146.96938456699067</v>
      </c>
      <c r="S439" s="1">
        <f t="shared" si="117"/>
        <v>180.80271790032401</v>
      </c>
      <c r="T439" s="1">
        <f t="shared" si="118"/>
        <v>-7.8027179003240121</v>
      </c>
      <c r="U439" t="str">
        <f t="shared" si="119"/>
        <v xml:space="preserve"> Need to Order</v>
      </c>
      <c r="V439">
        <f t="shared" si="120"/>
        <v>3540</v>
      </c>
      <c r="W439" s="9">
        <f t="shared" si="121"/>
        <v>235693.19999999998</v>
      </c>
      <c r="Y439">
        <f t="shared" si="122"/>
        <v>5.2842462443188608E-4</v>
      </c>
      <c r="Z439" s="12">
        <f t="shared" si="132"/>
        <v>0.97705849003488776</v>
      </c>
      <c r="AA439" t="str">
        <f t="shared" si="123"/>
        <v>C</v>
      </c>
      <c r="AB439" t="str">
        <f t="shared" si="124"/>
        <v>X</v>
      </c>
      <c r="AC439" t="str">
        <f t="shared" si="125"/>
        <v>CX</v>
      </c>
      <c r="AD439" t="str">
        <f t="shared" si="126"/>
        <v>Simplified Bulk Control</v>
      </c>
      <c r="AE439" t="str">
        <f t="shared" si="127"/>
        <v>Monthly</v>
      </c>
      <c r="AF439" t="str">
        <f t="shared" si="128"/>
        <v>Bulk Ordering</v>
      </c>
      <c r="AG439" t="str">
        <f t="shared" si="129"/>
        <v>Low</v>
      </c>
      <c r="AH439">
        <f t="shared" si="130"/>
        <v>40</v>
      </c>
      <c r="AI439" t="str">
        <f t="shared" si="131"/>
        <v>Low</v>
      </c>
    </row>
    <row r="440" spans="1:35">
      <c r="A440" t="s">
        <v>440</v>
      </c>
      <c r="B440" t="s">
        <v>18</v>
      </c>
      <c r="C440" t="s">
        <v>22</v>
      </c>
      <c r="D440" t="s">
        <v>25</v>
      </c>
      <c r="E440">
        <v>596</v>
      </c>
      <c r="F440">
        <v>140</v>
      </c>
      <c r="G440">
        <v>99</v>
      </c>
      <c r="H440">
        <v>7</v>
      </c>
      <c r="I440">
        <v>140.27000000000001</v>
      </c>
      <c r="J440">
        <v>0.2</v>
      </c>
      <c r="K440">
        <v>641</v>
      </c>
      <c r="L440">
        <v>0.79</v>
      </c>
      <c r="M440">
        <v>8</v>
      </c>
      <c r="N440" s="1">
        <f t="shared" si="114"/>
        <v>4.666666666666667</v>
      </c>
      <c r="O440" s="1">
        <f>N440*(1+Control_Panel!$B$2)</f>
        <v>4.666666666666667</v>
      </c>
      <c r="P440" s="12">
        <f t="shared" si="115"/>
        <v>0.70714285714285718</v>
      </c>
      <c r="Q440" t="str" cm="1">
        <f t="array" ref="Q440">_xlfn.IFS(P440&lt;0.2,"Stable",P440&lt;=0.5,"Moderate",P440&gt;0.5,"Highly veriable")</f>
        <v>Highly veriable</v>
      </c>
      <c r="R440" s="1">
        <f t="shared" si="116"/>
        <v>261.92937979539448</v>
      </c>
      <c r="S440" s="1">
        <f t="shared" si="117"/>
        <v>273.59604646206117</v>
      </c>
      <c r="T440" s="1">
        <f t="shared" si="118"/>
        <v>322.40395353793883</v>
      </c>
      <c r="U440" t="str">
        <f t="shared" si="119"/>
        <v xml:space="preserve"> Safe</v>
      </c>
      <c r="V440">
        <f t="shared" si="120"/>
        <v>1680</v>
      </c>
      <c r="W440" s="9">
        <f t="shared" si="121"/>
        <v>235653.6</v>
      </c>
      <c r="Y440">
        <f t="shared" si="122"/>
        <v>5.2833584115291371E-4</v>
      </c>
      <c r="Z440" s="12">
        <f t="shared" si="132"/>
        <v>0.97758682587604062</v>
      </c>
      <c r="AA440" t="str">
        <f t="shared" si="123"/>
        <v>C</v>
      </c>
      <c r="AB440" t="str">
        <f t="shared" si="124"/>
        <v>Z</v>
      </c>
      <c r="AC440" t="str">
        <f t="shared" si="125"/>
        <v>CZ</v>
      </c>
      <c r="AD440" t="str">
        <f t="shared" si="126"/>
        <v>Minimal Control</v>
      </c>
      <c r="AE440" t="str">
        <f t="shared" si="127"/>
        <v>Quarterly</v>
      </c>
      <c r="AF440" t="str">
        <f t="shared" si="128"/>
        <v>Reduce Inventory Exposure</v>
      </c>
      <c r="AG440" t="str">
        <f t="shared" si="129"/>
        <v>Low</v>
      </c>
      <c r="AH440">
        <f t="shared" si="130"/>
        <v>50</v>
      </c>
      <c r="AI440" t="str">
        <f t="shared" si="131"/>
        <v>Medium</v>
      </c>
    </row>
    <row r="441" spans="1:35">
      <c r="A441" t="s">
        <v>270</v>
      </c>
      <c r="B441" t="s">
        <v>29</v>
      </c>
      <c r="C441" t="s">
        <v>22</v>
      </c>
      <c r="D441" t="s">
        <v>25</v>
      </c>
      <c r="E441">
        <v>695</v>
      </c>
      <c r="F441">
        <v>66</v>
      </c>
      <c r="G441">
        <v>23</v>
      </c>
      <c r="H441">
        <v>6</v>
      </c>
      <c r="I441">
        <v>294.5</v>
      </c>
      <c r="J441">
        <v>0.17</v>
      </c>
      <c r="K441">
        <v>521</v>
      </c>
      <c r="L441">
        <v>0.98</v>
      </c>
      <c r="M441">
        <v>5</v>
      </c>
      <c r="N441" s="1">
        <f t="shared" si="114"/>
        <v>2.2000000000000002</v>
      </c>
      <c r="O441" s="1">
        <f>N441*(1+Control_Panel!$B$2)</f>
        <v>2.2000000000000002</v>
      </c>
      <c r="P441" s="12">
        <f t="shared" si="115"/>
        <v>0.34848484848484851</v>
      </c>
      <c r="Q441" t="str" cm="1">
        <f t="array" ref="Q441">_xlfn.IFS(P441&lt;0.2,"Stable",P441&lt;=0.5,"Moderate",P441&gt;0.5,"Highly veriable")</f>
        <v>Moderate</v>
      </c>
      <c r="R441" s="1">
        <f t="shared" si="116"/>
        <v>56.33826408401309</v>
      </c>
      <c r="S441" s="1">
        <f t="shared" si="117"/>
        <v>64.538264084013093</v>
      </c>
      <c r="T441" s="1">
        <f t="shared" si="118"/>
        <v>630.46173591598688</v>
      </c>
      <c r="U441" t="str">
        <f t="shared" si="119"/>
        <v xml:space="preserve"> Safe</v>
      </c>
      <c r="V441">
        <f t="shared" si="120"/>
        <v>792</v>
      </c>
      <c r="W441" s="9">
        <f t="shared" si="121"/>
        <v>233244</v>
      </c>
      <c r="Y441">
        <f t="shared" si="122"/>
        <v>5.229335131475615E-4</v>
      </c>
      <c r="Z441" s="12">
        <f t="shared" si="132"/>
        <v>0.9781097593891882</v>
      </c>
      <c r="AA441" t="str">
        <f t="shared" si="123"/>
        <v>C</v>
      </c>
      <c r="AB441" t="str">
        <f t="shared" si="124"/>
        <v>Y</v>
      </c>
      <c r="AC441" t="str">
        <f t="shared" si="125"/>
        <v>CY</v>
      </c>
      <c r="AD441" t="str">
        <f t="shared" si="126"/>
        <v>Low-Priority Monitoring</v>
      </c>
      <c r="AE441" t="str">
        <f t="shared" si="127"/>
        <v>Monthly Review</v>
      </c>
      <c r="AF441" t="str">
        <f t="shared" si="128"/>
        <v>Low Priority Monitoring</v>
      </c>
      <c r="AG441" t="str">
        <f t="shared" si="129"/>
        <v>Low</v>
      </c>
      <c r="AH441">
        <f t="shared" si="130"/>
        <v>40</v>
      </c>
      <c r="AI441" t="str">
        <f t="shared" si="131"/>
        <v>Low</v>
      </c>
    </row>
    <row r="442" spans="1:35">
      <c r="A442" t="s">
        <v>507</v>
      </c>
      <c r="B442" t="s">
        <v>34</v>
      </c>
      <c r="C442" t="s">
        <v>22</v>
      </c>
      <c r="D442" t="s">
        <v>25</v>
      </c>
      <c r="E442">
        <v>921</v>
      </c>
      <c r="F442">
        <v>73</v>
      </c>
      <c r="G442">
        <v>58</v>
      </c>
      <c r="H442">
        <v>17</v>
      </c>
      <c r="I442">
        <v>256.88</v>
      </c>
      <c r="J442">
        <v>0.22</v>
      </c>
      <c r="K442">
        <v>870</v>
      </c>
      <c r="L442">
        <v>0.81</v>
      </c>
      <c r="M442">
        <v>7</v>
      </c>
      <c r="N442" s="1">
        <f t="shared" si="114"/>
        <v>2.4333333333333331</v>
      </c>
      <c r="O442" s="1">
        <f>N442*(1+Control_Panel!$B$2)</f>
        <v>2.4333333333333331</v>
      </c>
      <c r="P442" s="12">
        <f t="shared" si="115"/>
        <v>0.79452054794520544</v>
      </c>
      <c r="Q442" t="str" cm="1">
        <f t="array" ref="Q442">_xlfn.IFS(P442&lt;0.2,"Stable",P442&lt;=0.5,"Moderate",P442&gt;0.5,"Highly veriable")</f>
        <v>Highly veriable</v>
      </c>
      <c r="R442" s="1">
        <f t="shared" si="116"/>
        <v>239.14012628582432</v>
      </c>
      <c r="S442" s="1">
        <f t="shared" si="117"/>
        <v>258.57345961915763</v>
      </c>
      <c r="T442" s="1">
        <f t="shared" si="118"/>
        <v>662.42654038084243</v>
      </c>
      <c r="U442" t="str">
        <f t="shared" si="119"/>
        <v xml:space="preserve"> Safe</v>
      </c>
      <c r="V442">
        <f t="shared" si="120"/>
        <v>876</v>
      </c>
      <c r="W442" s="9">
        <f t="shared" si="121"/>
        <v>225026.88</v>
      </c>
      <c r="Y442">
        <f t="shared" si="122"/>
        <v>5.045107137205448E-4</v>
      </c>
      <c r="Z442" s="12">
        <f t="shared" si="132"/>
        <v>0.9786142701029088</v>
      </c>
      <c r="AA442" t="str">
        <f t="shared" si="123"/>
        <v>C</v>
      </c>
      <c r="AB442" t="str">
        <f t="shared" si="124"/>
        <v>Z</v>
      </c>
      <c r="AC442" t="str">
        <f t="shared" si="125"/>
        <v>CZ</v>
      </c>
      <c r="AD442" t="str">
        <f t="shared" si="126"/>
        <v>Minimal Control</v>
      </c>
      <c r="AE442" t="str">
        <f t="shared" si="127"/>
        <v>Quarterly</v>
      </c>
      <c r="AF442" t="str">
        <f t="shared" si="128"/>
        <v>Reduce Inventory Exposure</v>
      </c>
      <c r="AG442" t="str">
        <f t="shared" si="129"/>
        <v>Low</v>
      </c>
      <c r="AH442">
        <f t="shared" si="130"/>
        <v>40</v>
      </c>
      <c r="AI442" t="str">
        <f t="shared" si="131"/>
        <v>Low</v>
      </c>
    </row>
    <row r="443" spans="1:35">
      <c r="A443" t="s">
        <v>371</v>
      </c>
      <c r="B443" t="s">
        <v>29</v>
      </c>
      <c r="C443" t="s">
        <v>15</v>
      </c>
      <c r="D443" t="s">
        <v>23</v>
      </c>
      <c r="E443">
        <v>824</v>
      </c>
      <c r="F443">
        <v>86</v>
      </c>
      <c r="G443">
        <v>27</v>
      </c>
      <c r="H443">
        <v>14</v>
      </c>
      <c r="I443">
        <v>217.57</v>
      </c>
      <c r="J443">
        <v>0.15</v>
      </c>
      <c r="K443">
        <v>422</v>
      </c>
      <c r="L443">
        <v>0.76</v>
      </c>
      <c r="M443">
        <v>4</v>
      </c>
      <c r="N443" s="1">
        <f t="shared" si="114"/>
        <v>2.8666666666666667</v>
      </c>
      <c r="O443" s="1">
        <f>N443*(1+Control_Panel!$B$2)</f>
        <v>2.8666666666666667</v>
      </c>
      <c r="P443" s="12">
        <f t="shared" si="115"/>
        <v>0.31395348837209303</v>
      </c>
      <c r="Q443" t="str" cm="1">
        <f t="array" ref="Q443">_xlfn.IFS(P443&lt;0.2,"Stable",P443&lt;=0.5,"Moderate",P443&gt;0.5,"Highly veriable")</f>
        <v>Moderate</v>
      </c>
      <c r="R443" s="1">
        <f t="shared" si="116"/>
        <v>101.02474944289642</v>
      </c>
      <c r="S443" s="1">
        <f t="shared" si="117"/>
        <v>117.8914161095631</v>
      </c>
      <c r="T443" s="1">
        <f t="shared" si="118"/>
        <v>706.10858389043688</v>
      </c>
      <c r="U443" t="str">
        <f t="shared" si="119"/>
        <v xml:space="preserve"> Safe</v>
      </c>
      <c r="V443">
        <f t="shared" si="120"/>
        <v>1032</v>
      </c>
      <c r="W443" s="9">
        <f t="shared" si="121"/>
        <v>224532.24</v>
      </c>
      <c r="Y443">
        <f t="shared" si="122"/>
        <v>5.0340172985410749E-4</v>
      </c>
      <c r="Z443" s="12">
        <f t="shared" si="132"/>
        <v>0.97911767183276288</v>
      </c>
      <c r="AA443" t="str">
        <f t="shared" si="123"/>
        <v>C</v>
      </c>
      <c r="AB443" t="str">
        <f t="shared" si="124"/>
        <v>Y</v>
      </c>
      <c r="AC443" t="str">
        <f t="shared" si="125"/>
        <v>CY</v>
      </c>
      <c r="AD443" t="str">
        <f t="shared" si="126"/>
        <v>Low-Priority Monitoring</v>
      </c>
      <c r="AE443" t="str">
        <f t="shared" si="127"/>
        <v>Monthly Review</v>
      </c>
      <c r="AF443" t="str">
        <f t="shared" si="128"/>
        <v>Low Priority Monitoring</v>
      </c>
      <c r="AG443" t="str">
        <f t="shared" si="129"/>
        <v>Low</v>
      </c>
      <c r="AH443">
        <f t="shared" si="130"/>
        <v>30</v>
      </c>
      <c r="AI443" t="str">
        <f t="shared" si="131"/>
        <v>Low</v>
      </c>
    </row>
    <row r="444" spans="1:35">
      <c r="A444" t="s">
        <v>292</v>
      </c>
      <c r="B444" t="s">
        <v>34</v>
      </c>
      <c r="C444" t="s">
        <v>22</v>
      </c>
      <c r="D444" t="s">
        <v>41</v>
      </c>
      <c r="E444">
        <v>952</v>
      </c>
      <c r="F444">
        <v>184</v>
      </c>
      <c r="G444">
        <v>46</v>
      </c>
      <c r="H444">
        <v>7</v>
      </c>
      <c r="I444">
        <v>100.38</v>
      </c>
      <c r="J444">
        <v>0.11</v>
      </c>
      <c r="K444">
        <v>416</v>
      </c>
      <c r="L444">
        <v>0.98</v>
      </c>
      <c r="M444">
        <v>1</v>
      </c>
      <c r="N444" s="1">
        <f t="shared" si="114"/>
        <v>6.1333333333333337</v>
      </c>
      <c r="O444" s="1">
        <f>N444*(1+Control_Panel!$B$2)</f>
        <v>6.1333333333333337</v>
      </c>
      <c r="P444" s="12">
        <f t="shared" si="115"/>
        <v>0.25</v>
      </c>
      <c r="Q444" t="str" cm="1">
        <f t="array" ref="Q444">_xlfn.IFS(P444&lt;0.2,"Stable",P444&lt;=0.5,"Moderate",P444&gt;0.5,"Highly veriable")</f>
        <v>Moderate</v>
      </c>
      <c r="R444" s="1">
        <f t="shared" si="116"/>
        <v>121.70456030897117</v>
      </c>
      <c r="S444" s="1">
        <f t="shared" si="117"/>
        <v>134.83789364230449</v>
      </c>
      <c r="T444" s="1">
        <f t="shared" si="118"/>
        <v>817.16210635769551</v>
      </c>
      <c r="U444" t="str">
        <f t="shared" si="119"/>
        <v xml:space="preserve"> Safe</v>
      </c>
      <c r="V444">
        <f t="shared" si="120"/>
        <v>2208</v>
      </c>
      <c r="W444" s="9">
        <f t="shared" si="121"/>
        <v>221639.03999999998</v>
      </c>
      <c r="Y444">
        <f t="shared" si="122"/>
        <v>4.9691516968433452E-4</v>
      </c>
      <c r="Z444" s="12">
        <f t="shared" si="132"/>
        <v>0.97961458700244719</v>
      </c>
      <c r="AA444" t="str">
        <f t="shared" si="123"/>
        <v>C</v>
      </c>
      <c r="AB444" t="str">
        <f t="shared" si="124"/>
        <v>Y</v>
      </c>
      <c r="AC444" t="str">
        <f t="shared" si="125"/>
        <v>CY</v>
      </c>
      <c r="AD444" t="str">
        <f t="shared" si="126"/>
        <v>Low-Priority Monitoring</v>
      </c>
      <c r="AE444" t="str">
        <f t="shared" si="127"/>
        <v>Monthly Review</v>
      </c>
      <c r="AF444" t="str">
        <f t="shared" si="128"/>
        <v>Low Priority Monitoring</v>
      </c>
      <c r="AG444" t="str">
        <f t="shared" si="129"/>
        <v>Low</v>
      </c>
      <c r="AH444">
        <f t="shared" si="130"/>
        <v>30</v>
      </c>
      <c r="AI444" t="str">
        <f t="shared" si="131"/>
        <v>Low</v>
      </c>
    </row>
    <row r="445" spans="1:35">
      <c r="A445" t="s">
        <v>449</v>
      </c>
      <c r="B445" t="s">
        <v>29</v>
      </c>
      <c r="C445" t="s">
        <v>15</v>
      </c>
      <c r="D445" t="s">
        <v>16</v>
      </c>
      <c r="E445">
        <v>284</v>
      </c>
      <c r="F445">
        <v>78</v>
      </c>
      <c r="G445">
        <v>99</v>
      </c>
      <c r="H445">
        <v>11</v>
      </c>
      <c r="I445">
        <v>233.39</v>
      </c>
      <c r="J445">
        <v>0.09</v>
      </c>
      <c r="K445">
        <v>555</v>
      </c>
      <c r="L445">
        <v>0.93</v>
      </c>
      <c r="M445">
        <v>10</v>
      </c>
      <c r="N445" s="1">
        <f t="shared" si="114"/>
        <v>2.6</v>
      </c>
      <c r="O445" s="1">
        <f>N445*(1+Control_Panel!$B$2)</f>
        <v>2.6</v>
      </c>
      <c r="P445" s="12">
        <f t="shared" si="115"/>
        <v>1.2692307692307692</v>
      </c>
      <c r="Q445" t="str" cm="1">
        <f t="array" ref="Q445">_xlfn.IFS(P445&lt;0.2,"Stable",P445&lt;=0.5,"Moderate",P445&gt;0.5,"Highly veriable")</f>
        <v>Highly veriable</v>
      </c>
      <c r="R445" s="1">
        <f t="shared" si="116"/>
        <v>328.34585424518457</v>
      </c>
      <c r="S445" s="1">
        <f t="shared" si="117"/>
        <v>341.94585424518459</v>
      </c>
      <c r="T445" s="1">
        <f t="shared" si="118"/>
        <v>-57.945854245184591</v>
      </c>
      <c r="U445" t="str">
        <f t="shared" si="119"/>
        <v xml:space="preserve"> Need to Order</v>
      </c>
      <c r="V445">
        <f t="shared" si="120"/>
        <v>936</v>
      </c>
      <c r="W445" s="9">
        <f t="shared" si="121"/>
        <v>218453.03999999998</v>
      </c>
      <c r="Y445">
        <f t="shared" si="122"/>
        <v>4.8977215133064417E-4</v>
      </c>
      <c r="Z445" s="12">
        <f t="shared" si="132"/>
        <v>0.9801043591537778</v>
      </c>
      <c r="AA445" t="str">
        <f t="shared" si="123"/>
        <v>C</v>
      </c>
      <c r="AB445" t="str">
        <f t="shared" si="124"/>
        <v>Z</v>
      </c>
      <c r="AC445" t="str">
        <f t="shared" si="125"/>
        <v>CZ</v>
      </c>
      <c r="AD445" t="str">
        <f t="shared" si="126"/>
        <v>Minimal Control</v>
      </c>
      <c r="AE445" t="str">
        <f t="shared" si="127"/>
        <v>Quarterly</v>
      </c>
      <c r="AF445" t="str">
        <f t="shared" si="128"/>
        <v>Reduce Inventory Exposure</v>
      </c>
      <c r="AG445" t="str">
        <f t="shared" si="129"/>
        <v>Low</v>
      </c>
      <c r="AH445">
        <f t="shared" si="130"/>
        <v>50</v>
      </c>
      <c r="AI445" t="str">
        <f t="shared" si="131"/>
        <v>Medium</v>
      </c>
    </row>
    <row r="446" spans="1:35">
      <c r="A446" t="s">
        <v>327</v>
      </c>
      <c r="B446" t="s">
        <v>21</v>
      </c>
      <c r="C446" t="s">
        <v>22</v>
      </c>
      <c r="D446" t="s">
        <v>23</v>
      </c>
      <c r="E446">
        <v>402</v>
      </c>
      <c r="F446">
        <v>237</v>
      </c>
      <c r="G446">
        <v>26</v>
      </c>
      <c r="H446">
        <v>22</v>
      </c>
      <c r="I446">
        <v>76.37</v>
      </c>
      <c r="J446">
        <v>0.16</v>
      </c>
      <c r="K446">
        <v>836</v>
      </c>
      <c r="L446">
        <v>0.72</v>
      </c>
      <c r="M446">
        <v>3</v>
      </c>
      <c r="N446" s="1">
        <f t="shared" si="114"/>
        <v>7.9</v>
      </c>
      <c r="O446" s="1">
        <f>N446*(1+Control_Panel!$B$2)</f>
        <v>7.9</v>
      </c>
      <c r="P446" s="12">
        <f t="shared" si="115"/>
        <v>0.10970464135021098</v>
      </c>
      <c r="Q446" t="str" cm="1">
        <f t="array" ref="Q446">_xlfn.IFS(P446&lt;0.2,"Stable",P446&lt;=0.5,"Moderate",P446&gt;0.5,"Highly veriable")</f>
        <v>Stable</v>
      </c>
      <c r="R446" s="1">
        <f t="shared" si="116"/>
        <v>121.95080975540917</v>
      </c>
      <c r="S446" s="1">
        <f t="shared" si="117"/>
        <v>151.85080975540916</v>
      </c>
      <c r="T446" s="1">
        <f t="shared" si="118"/>
        <v>250.14919024459084</v>
      </c>
      <c r="U446" t="str">
        <f t="shared" si="119"/>
        <v xml:space="preserve"> Safe</v>
      </c>
      <c r="V446">
        <f t="shared" si="120"/>
        <v>2844</v>
      </c>
      <c r="W446" s="9">
        <f t="shared" si="121"/>
        <v>217196.28</v>
      </c>
      <c r="Y446">
        <f t="shared" si="122"/>
        <v>4.8695449290434679E-4</v>
      </c>
      <c r="Z446" s="12">
        <f t="shared" si="132"/>
        <v>0.98059131364668217</v>
      </c>
      <c r="AA446" t="str">
        <f t="shared" si="123"/>
        <v>C</v>
      </c>
      <c r="AB446" t="str">
        <f t="shared" si="124"/>
        <v>X</v>
      </c>
      <c r="AC446" t="str">
        <f t="shared" si="125"/>
        <v>CX</v>
      </c>
      <c r="AD446" t="str">
        <f t="shared" si="126"/>
        <v>Simplified Bulk Control</v>
      </c>
      <c r="AE446" t="str">
        <f t="shared" si="127"/>
        <v>Monthly</v>
      </c>
      <c r="AF446" t="str">
        <f t="shared" si="128"/>
        <v>Bulk Ordering</v>
      </c>
      <c r="AG446" t="str">
        <f t="shared" si="129"/>
        <v>Low</v>
      </c>
      <c r="AH446">
        <f t="shared" si="130"/>
        <v>30</v>
      </c>
      <c r="AI446" t="str">
        <f t="shared" si="131"/>
        <v>Low</v>
      </c>
    </row>
    <row r="447" spans="1:35">
      <c r="A447" t="s">
        <v>391</v>
      </c>
      <c r="B447" t="s">
        <v>40</v>
      </c>
      <c r="C447" t="s">
        <v>15</v>
      </c>
      <c r="D447" t="s">
        <v>19</v>
      </c>
      <c r="E447">
        <v>726</v>
      </c>
      <c r="F447">
        <v>99</v>
      </c>
      <c r="G447">
        <v>94</v>
      </c>
      <c r="H447">
        <v>27</v>
      </c>
      <c r="I447">
        <v>181.91</v>
      </c>
      <c r="J447">
        <v>0.1</v>
      </c>
      <c r="K447">
        <v>737</v>
      </c>
      <c r="L447">
        <v>0.86</v>
      </c>
      <c r="M447">
        <v>10</v>
      </c>
      <c r="N447" s="1">
        <f t="shared" si="114"/>
        <v>3.3</v>
      </c>
      <c r="O447" s="1">
        <f>N447*(1+Control_Panel!$B$2)</f>
        <v>3.3</v>
      </c>
      <c r="P447" s="12">
        <f t="shared" si="115"/>
        <v>0.9494949494949495</v>
      </c>
      <c r="Q447" t="str" cm="1">
        <f t="array" ref="Q447">_xlfn.IFS(P447&lt;0.2,"Stable",P447&lt;=0.5,"Moderate",P447&gt;0.5,"Highly veriable")</f>
        <v>Highly veriable</v>
      </c>
      <c r="R447" s="1">
        <f t="shared" si="116"/>
        <v>488.43832773442341</v>
      </c>
      <c r="S447" s="1">
        <f t="shared" si="117"/>
        <v>518.73832773442336</v>
      </c>
      <c r="T447" s="1">
        <f t="shared" si="118"/>
        <v>207.26167226557664</v>
      </c>
      <c r="U447" t="str">
        <f t="shared" si="119"/>
        <v xml:space="preserve"> Risk</v>
      </c>
      <c r="V447">
        <f t="shared" si="120"/>
        <v>1188</v>
      </c>
      <c r="W447" s="9">
        <f t="shared" si="121"/>
        <v>216109.08</v>
      </c>
      <c r="Y447">
        <f t="shared" si="122"/>
        <v>4.8451698833619483E-4</v>
      </c>
      <c r="Z447" s="12">
        <f t="shared" si="132"/>
        <v>0.98107583063501835</v>
      </c>
      <c r="AA447" t="str">
        <f t="shared" si="123"/>
        <v>C</v>
      </c>
      <c r="AB447" t="str">
        <f t="shared" si="124"/>
        <v>Z</v>
      </c>
      <c r="AC447" t="str">
        <f t="shared" si="125"/>
        <v>CZ</v>
      </c>
      <c r="AD447" t="str">
        <f t="shared" si="126"/>
        <v>Minimal Control</v>
      </c>
      <c r="AE447" t="str">
        <f t="shared" si="127"/>
        <v>Quarterly</v>
      </c>
      <c r="AF447" t="str">
        <f t="shared" si="128"/>
        <v>Reduce Inventory Exposure</v>
      </c>
      <c r="AG447" t="str">
        <f t="shared" si="129"/>
        <v>Low</v>
      </c>
      <c r="AH447">
        <f t="shared" si="130"/>
        <v>50</v>
      </c>
      <c r="AI447" t="str">
        <f t="shared" si="131"/>
        <v>Medium</v>
      </c>
    </row>
    <row r="448" spans="1:35">
      <c r="A448" t="s">
        <v>272</v>
      </c>
      <c r="B448" t="s">
        <v>29</v>
      </c>
      <c r="C448" t="s">
        <v>22</v>
      </c>
      <c r="D448" t="s">
        <v>25</v>
      </c>
      <c r="E448">
        <v>180</v>
      </c>
      <c r="F448">
        <v>57</v>
      </c>
      <c r="G448">
        <v>27</v>
      </c>
      <c r="H448">
        <v>5</v>
      </c>
      <c r="I448">
        <v>312.92</v>
      </c>
      <c r="J448">
        <v>0.12</v>
      </c>
      <c r="K448">
        <v>554</v>
      </c>
      <c r="L448">
        <v>0.87</v>
      </c>
      <c r="M448">
        <v>3</v>
      </c>
      <c r="N448" s="1">
        <f t="shared" si="114"/>
        <v>1.9</v>
      </c>
      <c r="O448" s="1">
        <f>N448*(1+Control_Panel!$B$2)</f>
        <v>1.9</v>
      </c>
      <c r="P448" s="12">
        <f t="shared" si="115"/>
        <v>0.47368421052631576</v>
      </c>
      <c r="Q448" t="str" cm="1">
        <f t="array" ref="Q448">_xlfn.IFS(P448&lt;0.2,"Stable",P448&lt;=0.5,"Moderate",P448&gt;0.5,"Highly veriable")</f>
        <v>Moderate</v>
      </c>
      <c r="R448" s="1">
        <f t="shared" si="116"/>
        <v>60.373835392494328</v>
      </c>
      <c r="S448" s="1">
        <f t="shared" si="117"/>
        <v>67.273835392494334</v>
      </c>
      <c r="T448" s="1">
        <f t="shared" si="118"/>
        <v>112.72616460750567</v>
      </c>
      <c r="U448" t="str">
        <f t="shared" si="119"/>
        <v xml:space="preserve"> Safe</v>
      </c>
      <c r="V448">
        <f t="shared" si="120"/>
        <v>684</v>
      </c>
      <c r="W448" s="9">
        <f t="shared" si="121"/>
        <v>214037.28</v>
      </c>
      <c r="Y448">
        <f t="shared" si="122"/>
        <v>4.7987200860450134E-4</v>
      </c>
      <c r="Z448" s="12">
        <f t="shared" si="132"/>
        <v>0.98155570264362291</v>
      </c>
      <c r="AA448" t="str">
        <f t="shared" si="123"/>
        <v>C</v>
      </c>
      <c r="AB448" t="str">
        <f t="shared" si="124"/>
        <v>Y</v>
      </c>
      <c r="AC448" t="str">
        <f t="shared" si="125"/>
        <v>CY</v>
      </c>
      <c r="AD448" t="str">
        <f t="shared" si="126"/>
        <v>Low-Priority Monitoring</v>
      </c>
      <c r="AE448" t="str">
        <f t="shared" si="127"/>
        <v>Monthly Review</v>
      </c>
      <c r="AF448" t="str">
        <f t="shared" si="128"/>
        <v>Low Priority Monitoring</v>
      </c>
      <c r="AG448" t="str">
        <f t="shared" si="129"/>
        <v>Low</v>
      </c>
      <c r="AH448">
        <f t="shared" si="130"/>
        <v>30</v>
      </c>
      <c r="AI448" t="str">
        <f t="shared" si="131"/>
        <v>Low</v>
      </c>
    </row>
    <row r="449" spans="1:35">
      <c r="A449" t="s">
        <v>248</v>
      </c>
      <c r="B449" t="s">
        <v>34</v>
      </c>
      <c r="C449" t="s">
        <v>22</v>
      </c>
      <c r="D449" t="s">
        <v>16</v>
      </c>
      <c r="E449">
        <v>170</v>
      </c>
      <c r="F449">
        <v>148</v>
      </c>
      <c r="G449">
        <v>18</v>
      </c>
      <c r="H449">
        <v>4</v>
      </c>
      <c r="I449">
        <v>120.08</v>
      </c>
      <c r="J449">
        <v>0.12</v>
      </c>
      <c r="K449">
        <v>650</v>
      </c>
      <c r="L449">
        <v>0.72</v>
      </c>
      <c r="M449">
        <v>10</v>
      </c>
      <c r="N449" s="1">
        <f t="shared" si="114"/>
        <v>4.9333333333333336</v>
      </c>
      <c r="O449" s="1">
        <f>N449*(1+Control_Panel!$B$2)</f>
        <v>4.9333333333333336</v>
      </c>
      <c r="P449" s="12">
        <f t="shared" si="115"/>
        <v>0.12162162162162163</v>
      </c>
      <c r="Q449" t="str" cm="1">
        <f t="array" ref="Q449">_xlfn.IFS(P449&lt;0.2,"Stable",P449&lt;=0.5,"Moderate",P449&gt;0.5,"Highly veriable")</f>
        <v>Stable</v>
      </c>
      <c r="R449" s="1">
        <f t="shared" si="116"/>
        <v>36</v>
      </c>
      <c r="S449" s="1">
        <f t="shared" si="117"/>
        <v>44.933333333333337</v>
      </c>
      <c r="T449" s="1">
        <f t="shared" si="118"/>
        <v>125.06666666666666</v>
      </c>
      <c r="U449" t="str">
        <f t="shared" si="119"/>
        <v xml:space="preserve"> Safe</v>
      </c>
      <c r="V449">
        <f t="shared" si="120"/>
        <v>1776</v>
      </c>
      <c r="W449" s="9">
        <f t="shared" si="121"/>
        <v>213262.07999999999</v>
      </c>
      <c r="Y449">
        <f t="shared" si="122"/>
        <v>4.7813400865855636E-4</v>
      </c>
      <c r="Z449" s="12">
        <f t="shared" si="132"/>
        <v>0.9820338366522815</v>
      </c>
      <c r="AA449" t="str">
        <f t="shared" si="123"/>
        <v>C</v>
      </c>
      <c r="AB449" t="str">
        <f t="shared" si="124"/>
        <v>X</v>
      </c>
      <c r="AC449" t="str">
        <f t="shared" si="125"/>
        <v>CX</v>
      </c>
      <c r="AD449" t="str">
        <f t="shared" si="126"/>
        <v>Simplified Bulk Control</v>
      </c>
      <c r="AE449" t="str">
        <f t="shared" si="127"/>
        <v>Monthly</v>
      </c>
      <c r="AF449" t="str">
        <f t="shared" si="128"/>
        <v>Bulk Ordering</v>
      </c>
      <c r="AG449" t="str">
        <f t="shared" si="129"/>
        <v>Low</v>
      </c>
      <c r="AH449">
        <f t="shared" si="130"/>
        <v>50</v>
      </c>
      <c r="AI449" t="str">
        <f t="shared" si="131"/>
        <v>Medium</v>
      </c>
    </row>
    <row r="450" spans="1:35">
      <c r="A450" t="s">
        <v>335</v>
      </c>
      <c r="B450" t="s">
        <v>21</v>
      </c>
      <c r="C450" t="s">
        <v>22</v>
      </c>
      <c r="D450" t="s">
        <v>19</v>
      </c>
      <c r="E450">
        <v>935</v>
      </c>
      <c r="F450">
        <v>231</v>
      </c>
      <c r="G450">
        <v>93</v>
      </c>
      <c r="H450">
        <v>8</v>
      </c>
      <c r="I450">
        <v>76.819999999999993</v>
      </c>
      <c r="J450">
        <v>0.18</v>
      </c>
      <c r="K450">
        <v>725</v>
      </c>
      <c r="L450">
        <v>0.78</v>
      </c>
      <c r="M450">
        <v>2</v>
      </c>
      <c r="N450" s="1">
        <f t="shared" ref="N450:N501" si="133">F450/30</f>
        <v>7.7</v>
      </c>
      <c r="O450" s="1">
        <f>N450*(1+Control_Panel!$B$2)</f>
        <v>7.7</v>
      </c>
      <c r="P450" s="12">
        <f t="shared" ref="P450:P501" si="134">G450/F450</f>
        <v>0.40259740259740262</v>
      </c>
      <c r="Q450" t="str" cm="1">
        <f t="array" ref="Q450">_xlfn.IFS(P450&lt;0.2,"Stable",P450&lt;=0.5,"Moderate",P450&gt;0.5,"Highly veriable")</f>
        <v>Moderate</v>
      </c>
      <c r="R450" s="1">
        <f t="shared" ref="R450:R501" si="135">G450*SQRT(H450)</f>
        <v>263.0437226013957</v>
      </c>
      <c r="S450" s="1">
        <f t="shared" ref="S450:S501" si="136">O450+H450+R450</f>
        <v>278.74372260139569</v>
      </c>
      <c r="T450" s="1">
        <f t="shared" ref="T450:T501" si="137">E450-S450</f>
        <v>656.25627739860431</v>
      </c>
      <c r="U450" t="str">
        <f t="shared" ref="U450:U501" si="138">IF(T450&lt;0," Need to Order",
   IF(T450&lt;=R450," Risk",
      " Safe"))</f>
        <v xml:space="preserve"> Safe</v>
      </c>
      <c r="V450">
        <f t="shared" ref="V450:V501" si="139">F450*12</f>
        <v>2772</v>
      </c>
      <c r="W450" s="9">
        <f t="shared" ref="W450:W501" si="140">V450*I450</f>
        <v>212945.03999999998</v>
      </c>
      <c r="Y450">
        <f t="shared" si="122"/>
        <v>4.7742320434629833E-4</v>
      </c>
      <c r="Z450" s="12">
        <f t="shared" si="132"/>
        <v>0.98251125985662779</v>
      </c>
      <c r="AA450" t="str">
        <f t="shared" si="123"/>
        <v>C</v>
      </c>
      <c r="AB450" t="str">
        <f t="shared" si="124"/>
        <v>Y</v>
      </c>
      <c r="AC450" t="str">
        <f t="shared" si="125"/>
        <v>CY</v>
      </c>
      <c r="AD450" t="str">
        <f t="shared" si="126"/>
        <v>Low-Priority Monitoring</v>
      </c>
      <c r="AE450" t="str">
        <f t="shared" si="127"/>
        <v>Monthly Review</v>
      </c>
      <c r="AF450" t="str">
        <f t="shared" si="128"/>
        <v>Low Priority Monitoring</v>
      </c>
      <c r="AG450" t="str">
        <f t="shared" si="129"/>
        <v>Low</v>
      </c>
      <c r="AH450">
        <f t="shared" si="130"/>
        <v>30</v>
      </c>
      <c r="AI450" t="str">
        <f t="shared" si="131"/>
        <v>Low</v>
      </c>
    </row>
    <row r="451" spans="1:35">
      <c r="A451" t="s">
        <v>247</v>
      </c>
      <c r="B451" t="s">
        <v>36</v>
      </c>
      <c r="C451" t="s">
        <v>22</v>
      </c>
      <c r="D451" t="s">
        <v>19</v>
      </c>
      <c r="E451">
        <v>572</v>
      </c>
      <c r="F451">
        <v>76</v>
      </c>
      <c r="G451">
        <v>81</v>
      </c>
      <c r="H451">
        <v>1</v>
      </c>
      <c r="I451">
        <v>230</v>
      </c>
      <c r="J451">
        <v>0.21</v>
      </c>
      <c r="K451">
        <v>298</v>
      </c>
      <c r="L451">
        <v>0.74</v>
      </c>
      <c r="M451">
        <v>3</v>
      </c>
      <c r="N451" s="1">
        <f t="shared" si="133"/>
        <v>2.5333333333333332</v>
      </c>
      <c r="O451" s="1">
        <f>N451*(1+Control_Panel!$B$2)</f>
        <v>2.5333333333333332</v>
      </c>
      <c r="P451" s="12">
        <f t="shared" si="134"/>
        <v>1.0657894736842106</v>
      </c>
      <c r="Q451" t="str" cm="1">
        <f t="array" ref="Q451">_xlfn.IFS(P451&lt;0.2,"Stable",P451&lt;=0.5,"Moderate",P451&gt;0.5,"Highly veriable")</f>
        <v>Highly veriable</v>
      </c>
      <c r="R451" s="1">
        <f t="shared" si="135"/>
        <v>81</v>
      </c>
      <c r="S451" s="1">
        <f t="shared" si="136"/>
        <v>84.533333333333331</v>
      </c>
      <c r="T451" s="1">
        <f t="shared" si="137"/>
        <v>487.4666666666667</v>
      </c>
      <c r="U451" t="str">
        <f t="shared" si="138"/>
        <v xml:space="preserve"> Safe</v>
      </c>
      <c r="V451">
        <f t="shared" si="139"/>
        <v>912</v>
      </c>
      <c r="W451" s="9">
        <f t="shared" si="140"/>
        <v>209760</v>
      </c>
      <c r="Y451">
        <f t="shared" ref="Y451:Y501" si="141">W451/$X$3</f>
        <v>4.7028233831452259E-4</v>
      </c>
      <c r="Z451" s="12">
        <f t="shared" si="132"/>
        <v>0.98298154219494227</v>
      </c>
      <c r="AA451" t="str">
        <f t="shared" ref="AA451:AA501" si="142">IF(Z451&lt;=80%,"A",IF(Z451&lt;=95%,"B","C"))</f>
        <v>C</v>
      </c>
      <c r="AB451" t="str">
        <f t="shared" ref="AB451:AB501" si="143">IF(P451&lt;=20%,"X",IF(P451&lt;=50%,"Y","Z"))</f>
        <v>Z</v>
      </c>
      <c r="AC451" t="str">
        <f t="shared" ref="AC451:AC501" si="144">AA451&amp;AB451</f>
        <v>CZ</v>
      </c>
      <c r="AD451" t="str">
        <f t="shared" ref="AD451:AD501" si="145">IF(AC451="AX","Strict Control",
IF(AC451="AY","Frequent Monitoring",
IF(AC451="AZ","Risk-Control Strategy",
IF(AC451="BX","Standard Control",
IF(AC451="BY","Periodic Review",
IF(AC451="BZ","Risk Monitoring",
IF(AC451="CX","Simplified Bulk Control",
IF(AC451="CY","Low-Priority Monitoring",
IF(AC451="CZ","Minimal Control","Check")))))))))</f>
        <v>Minimal Control</v>
      </c>
      <c r="AE451" t="str">
        <f t="shared" ref="AE451:AE501" si="146">IF(AC451="AX","Daily",
IF(AC451="AY","Every 2 Days",
IF(AC451="AZ","Daily + Manager Review",
IF(AC451="BX","Weekly",
IF(AC451="BY","Bi-Weekly",
IF(AC451="BZ","Weekly Risk Review",
IF(AC451="CX","Monthly",
IF(AC451="CY","Monthly Review",
IF(AC451="CZ","Quarterly","Check")))))))))</f>
        <v>Quarterly</v>
      </c>
      <c r="AF451" t="str">
        <f t="shared" ref="AF451:AF501" si="147">IF(AC451="AX","Strict Replenishment",
IF(AC451="AY","Frequent Monitoring",
IF(AC451="AZ","Increase Safety Stock",
IF(AC451="BX","Standard Replenishment",
IF(AC451="BY","Periodic Review",
IF(AC451="BZ","Monitor Demand Variability",
IF(AC451="CX","Bulk Ordering",
IF(AC451="CY","Low Priority Monitoring",
IF(AC451="CZ","Reduce Inventory Exposure",
"Check")))))))))</f>
        <v>Reduce Inventory Exposure</v>
      </c>
      <c r="AG451" t="str">
        <f t="shared" ref="AG451:AG501" si="148">IF(AC451="AZ","Critical",
IF(AC451="AY","High",
IF(AC451="BZ","Medium",
IF(U451="Need to Order","Medium",
"Low"))))</f>
        <v>Low</v>
      </c>
      <c r="AH451">
        <f t="shared" ref="AH451:AH501" si="149">IF(AC451="AZ",40,
IF(AC451="AY",30,
IF(AC451="AX",20,10)))
+
IF(U451="Need to Order",30,
IF(U451="Risk",15,0))
+
IF(L451&lt;70,20,
IF(L451&lt;85,10,0))
+
IF(M451&gt;7,20,
IF(M451&gt;4,10,0))</f>
        <v>30</v>
      </c>
      <c r="AI451" t="str">
        <f t="shared" ref="AI451:AI501" si="150">IF(AH451&gt;=70,"Critical",
IF(AH451&gt;=60,"High",
IF(AH451&gt;=50,"Medium",
"Low")))</f>
        <v>Low</v>
      </c>
    </row>
    <row r="452" spans="1:35">
      <c r="A452" t="s">
        <v>451</v>
      </c>
      <c r="B452" t="s">
        <v>40</v>
      </c>
      <c r="C452" t="s">
        <v>15</v>
      </c>
      <c r="D452" t="s">
        <v>23</v>
      </c>
      <c r="E452">
        <v>807</v>
      </c>
      <c r="F452">
        <v>50</v>
      </c>
      <c r="G452">
        <v>5</v>
      </c>
      <c r="H452">
        <v>30</v>
      </c>
      <c r="I452">
        <v>348.96</v>
      </c>
      <c r="J452">
        <v>0.23</v>
      </c>
      <c r="K452">
        <v>565</v>
      </c>
      <c r="L452">
        <v>0.98</v>
      </c>
      <c r="M452">
        <v>6</v>
      </c>
      <c r="N452" s="1">
        <f t="shared" si="133"/>
        <v>1.6666666666666667</v>
      </c>
      <c r="O452" s="1">
        <f>N452*(1+Control_Panel!$B$2)</f>
        <v>1.6666666666666667</v>
      </c>
      <c r="P452" s="12">
        <f t="shared" si="134"/>
        <v>0.1</v>
      </c>
      <c r="Q452" t="str" cm="1">
        <f t="array" ref="Q452">_xlfn.IFS(P452&lt;0.2,"Stable",P452&lt;=0.5,"Moderate",P452&gt;0.5,"Highly veriable")</f>
        <v>Stable</v>
      </c>
      <c r="R452" s="1">
        <f t="shared" si="135"/>
        <v>27.386127875258307</v>
      </c>
      <c r="S452" s="1">
        <f t="shared" si="136"/>
        <v>59.052794541924975</v>
      </c>
      <c r="T452" s="1">
        <f t="shared" si="137"/>
        <v>747.94720545807502</v>
      </c>
      <c r="U452" t="str">
        <f t="shared" si="138"/>
        <v xml:space="preserve"> Safe</v>
      </c>
      <c r="V452">
        <f t="shared" si="139"/>
        <v>600</v>
      </c>
      <c r="W452" s="9">
        <f t="shared" si="140"/>
        <v>209376</v>
      </c>
      <c r="Y452">
        <f t="shared" si="141"/>
        <v>4.6942140954872943E-4</v>
      </c>
      <c r="Z452" s="12">
        <f t="shared" ref="Z452:Z501" si="151">Z451+Y452</f>
        <v>0.98345096360449102</v>
      </c>
      <c r="AA452" t="str">
        <f t="shared" si="142"/>
        <v>C</v>
      </c>
      <c r="AB452" t="str">
        <f t="shared" si="143"/>
        <v>X</v>
      </c>
      <c r="AC452" t="str">
        <f t="shared" si="144"/>
        <v>CX</v>
      </c>
      <c r="AD452" t="str">
        <f t="shared" si="145"/>
        <v>Simplified Bulk Control</v>
      </c>
      <c r="AE452" t="str">
        <f t="shared" si="146"/>
        <v>Monthly</v>
      </c>
      <c r="AF452" t="str">
        <f t="shared" si="147"/>
        <v>Bulk Ordering</v>
      </c>
      <c r="AG452" t="str">
        <f t="shared" si="148"/>
        <v>Low</v>
      </c>
      <c r="AH452">
        <f t="shared" si="149"/>
        <v>40</v>
      </c>
      <c r="AI452" t="str">
        <f t="shared" si="150"/>
        <v>Low</v>
      </c>
    </row>
    <row r="453" spans="1:35">
      <c r="A453" t="s">
        <v>439</v>
      </c>
      <c r="B453" t="s">
        <v>36</v>
      </c>
      <c r="C453" t="s">
        <v>15</v>
      </c>
      <c r="D453" t="s">
        <v>25</v>
      </c>
      <c r="E453">
        <v>335</v>
      </c>
      <c r="F453">
        <v>182</v>
      </c>
      <c r="G453">
        <v>78</v>
      </c>
      <c r="H453">
        <v>28</v>
      </c>
      <c r="I453">
        <v>95.57</v>
      </c>
      <c r="J453">
        <v>7.0000000000000007E-2</v>
      </c>
      <c r="K453">
        <v>690</v>
      </c>
      <c r="L453">
        <v>1</v>
      </c>
      <c r="M453">
        <v>3</v>
      </c>
      <c r="N453" s="1">
        <f t="shared" si="133"/>
        <v>6.0666666666666664</v>
      </c>
      <c r="O453" s="1">
        <f>N453*(1+Control_Panel!$B$2)</f>
        <v>6.0666666666666664</v>
      </c>
      <c r="P453" s="12">
        <f t="shared" si="134"/>
        <v>0.42857142857142855</v>
      </c>
      <c r="Q453" t="str" cm="1">
        <f t="array" ref="Q453">_xlfn.IFS(P453&lt;0.2,"Stable",P453&lt;=0.5,"Moderate",P453&gt;0.5,"Highly veriable")</f>
        <v>Moderate</v>
      </c>
      <c r="R453" s="1">
        <f t="shared" si="135"/>
        <v>412.73720452607614</v>
      </c>
      <c r="S453" s="1">
        <f t="shared" si="136"/>
        <v>446.8038711927428</v>
      </c>
      <c r="T453" s="1">
        <f t="shared" si="137"/>
        <v>-111.8038711927428</v>
      </c>
      <c r="U453" t="str">
        <f t="shared" si="138"/>
        <v xml:space="preserve"> Need to Order</v>
      </c>
      <c r="V453">
        <f t="shared" si="139"/>
        <v>2184</v>
      </c>
      <c r="W453" s="9">
        <f t="shared" si="140"/>
        <v>208724.87999999998</v>
      </c>
      <c r="Y453">
        <f t="shared" si="141"/>
        <v>4.6796159721023133E-4</v>
      </c>
      <c r="Z453" s="12">
        <f t="shared" si="151"/>
        <v>0.98391892520170121</v>
      </c>
      <c r="AA453" t="str">
        <f t="shared" si="142"/>
        <v>C</v>
      </c>
      <c r="AB453" t="str">
        <f t="shared" si="143"/>
        <v>Y</v>
      </c>
      <c r="AC453" t="str">
        <f t="shared" si="144"/>
        <v>CY</v>
      </c>
      <c r="AD453" t="str">
        <f t="shared" si="145"/>
        <v>Low-Priority Monitoring</v>
      </c>
      <c r="AE453" t="str">
        <f t="shared" si="146"/>
        <v>Monthly Review</v>
      </c>
      <c r="AF453" t="str">
        <f t="shared" si="147"/>
        <v>Low Priority Monitoring</v>
      </c>
      <c r="AG453" t="str">
        <f t="shared" si="148"/>
        <v>Low</v>
      </c>
      <c r="AH453">
        <f t="shared" si="149"/>
        <v>30</v>
      </c>
      <c r="AI453" t="str">
        <f t="shared" si="150"/>
        <v>Low</v>
      </c>
    </row>
    <row r="454" spans="1:35">
      <c r="A454" t="s">
        <v>103</v>
      </c>
      <c r="B454" t="s">
        <v>36</v>
      </c>
      <c r="C454" t="s">
        <v>15</v>
      </c>
      <c r="D454" t="s">
        <v>25</v>
      </c>
      <c r="E454">
        <v>872</v>
      </c>
      <c r="F454">
        <v>133</v>
      </c>
      <c r="G454">
        <v>83</v>
      </c>
      <c r="H454">
        <v>27</v>
      </c>
      <c r="I454">
        <v>129.41999999999999</v>
      </c>
      <c r="J454">
        <v>0.11</v>
      </c>
      <c r="K454">
        <v>219</v>
      </c>
      <c r="L454">
        <v>0.75</v>
      </c>
      <c r="M454">
        <v>9</v>
      </c>
      <c r="N454" s="1">
        <f t="shared" si="133"/>
        <v>4.4333333333333336</v>
      </c>
      <c r="O454" s="1">
        <f>N454*(1+Control_Panel!$B$2)</f>
        <v>4.4333333333333336</v>
      </c>
      <c r="P454" s="12">
        <f t="shared" si="134"/>
        <v>0.62406015037593987</v>
      </c>
      <c r="Q454" t="str" cm="1">
        <f t="array" ref="Q454">_xlfn.IFS(P454&lt;0.2,"Stable",P454&lt;=0.5,"Moderate",P454&gt;0.5,"Highly veriable")</f>
        <v>Highly veriable</v>
      </c>
      <c r="R454" s="1">
        <f t="shared" si="135"/>
        <v>431.28065108465046</v>
      </c>
      <c r="S454" s="1">
        <f t="shared" si="136"/>
        <v>462.7139844179838</v>
      </c>
      <c r="T454" s="1">
        <f t="shared" si="137"/>
        <v>409.2860155820162</v>
      </c>
      <c r="U454" t="str">
        <f t="shared" si="138"/>
        <v xml:space="preserve"> Risk</v>
      </c>
      <c r="V454">
        <f t="shared" si="139"/>
        <v>1596</v>
      </c>
      <c r="W454" s="9">
        <f t="shared" si="140"/>
        <v>206554.31999999998</v>
      </c>
      <c r="Y454">
        <f t="shared" si="141"/>
        <v>4.6309519736158542E-4</v>
      </c>
      <c r="Z454" s="12">
        <f t="shared" si="151"/>
        <v>0.98438202039906275</v>
      </c>
      <c r="AA454" t="str">
        <f t="shared" si="142"/>
        <v>C</v>
      </c>
      <c r="AB454" t="str">
        <f t="shared" si="143"/>
        <v>Z</v>
      </c>
      <c r="AC454" t="str">
        <f t="shared" si="144"/>
        <v>CZ</v>
      </c>
      <c r="AD454" t="str">
        <f t="shared" si="145"/>
        <v>Minimal Control</v>
      </c>
      <c r="AE454" t="str">
        <f t="shared" si="146"/>
        <v>Quarterly</v>
      </c>
      <c r="AF454" t="str">
        <f t="shared" si="147"/>
        <v>Reduce Inventory Exposure</v>
      </c>
      <c r="AG454" t="str">
        <f t="shared" si="148"/>
        <v>Low</v>
      </c>
      <c r="AH454">
        <f t="shared" si="149"/>
        <v>50</v>
      </c>
      <c r="AI454" t="str">
        <f t="shared" si="150"/>
        <v>Medium</v>
      </c>
    </row>
    <row r="455" spans="1:35">
      <c r="A455" t="s">
        <v>81</v>
      </c>
      <c r="B455" t="s">
        <v>36</v>
      </c>
      <c r="C455" t="s">
        <v>22</v>
      </c>
      <c r="D455" t="s">
        <v>23</v>
      </c>
      <c r="E455">
        <v>707</v>
      </c>
      <c r="F455">
        <v>119</v>
      </c>
      <c r="G455">
        <v>28</v>
      </c>
      <c r="H455">
        <v>13</v>
      </c>
      <c r="I455">
        <v>143.91999999999999</v>
      </c>
      <c r="J455">
        <v>0.16</v>
      </c>
      <c r="K455">
        <v>508</v>
      </c>
      <c r="L455">
        <v>0.9</v>
      </c>
      <c r="M455">
        <v>7</v>
      </c>
      <c r="N455" s="1">
        <f t="shared" si="133"/>
        <v>3.9666666666666668</v>
      </c>
      <c r="O455" s="1">
        <f>N455*(1+Control_Panel!$B$2)</f>
        <v>3.9666666666666668</v>
      </c>
      <c r="P455" s="12">
        <f t="shared" si="134"/>
        <v>0.23529411764705882</v>
      </c>
      <c r="Q455" t="str" cm="1">
        <f t="array" ref="Q455">_xlfn.IFS(P455&lt;0.2,"Stable",P455&lt;=0.5,"Moderate",P455&gt;0.5,"Highly veriable")</f>
        <v>Moderate</v>
      </c>
      <c r="R455" s="1">
        <f t="shared" si="135"/>
        <v>100.9554357129917</v>
      </c>
      <c r="S455" s="1">
        <f t="shared" si="136"/>
        <v>117.92210237965837</v>
      </c>
      <c r="T455" s="1">
        <f t="shared" si="137"/>
        <v>589.07789762034167</v>
      </c>
      <c r="U455" t="str">
        <f t="shared" si="138"/>
        <v xml:space="preserve"> Safe</v>
      </c>
      <c r="V455">
        <f t="shared" si="139"/>
        <v>1428</v>
      </c>
      <c r="W455" s="9">
        <f t="shared" si="140"/>
        <v>205517.75999999998</v>
      </c>
      <c r="Y455">
        <f t="shared" si="141"/>
        <v>4.6077122777442243E-4</v>
      </c>
      <c r="Z455" s="12">
        <f t="shared" si="151"/>
        <v>0.98484279162683719</v>
      </c>
      <c r="AA455" t="str">
        <f t="shared" si="142"/>
        <v>C</v>
      </c>
      <c r="AB455" t="str">
        <f t="shared" si="143"/>
        <v>Y</v>
      </c>
      <c r="AC455" t="str">
        <f t="shared" si="144"/>
        <v>CY</v>
      </c>
      <c r="AD455" t="str">
        <f t="shared" si="145"/>
        <v>Low-Priority Monitoring</v>
      </c>
      <c r="AE455" t="str">
        <f t="shared" si="146"/>
        <v>Monthly Review</v>
      </c>
      <c r="AF455" t="str">
        <f t="shared" si="147"/>
        <v>Low Priority Monitoring</v>
      </c>
      <c r="AG455" t="str">
        <f t="shared" si="148"/>
        <v>Low</v>
      </c>
      <c r="AH455">
        <f t="shared" si="149"/>
        <v>40</v>
      </c>
      <c r="AI455" t="str">
        <f t="shared" si="150"/>
        <v>Low</v>
      </c>
    </row>
    <row r="456" spans="1:35">
      <c r="A456" t="s">
        <v>384</v>
      </c>
      <c r="B456" t="s">
        <v>34</v>
      </c>
      <c r="C456" t="s">
        <v>15</v>
      </c>
      <c r="D456" t="s">
        <v>25</v>
      </c>
      <c r="E456">
        <v>114</v>
      </c>
      <c r="F456">
        <v>244</v>
      </c>
      <c r="G456">
        <v>65</v>
      </c>
      <c r="H456">
        <v>10</v>
      </c>
      <c r="I456">
        <v>70.19</v>
      </c>
      <c r="J456">
        <v>0.16</v>
      </c>
      <c r="K456">
        <v>670</v>
      </c>
      <c r="L456">
        <v>0.84</v>
      </c>
      <c r="M456">
        <v>7</v>
      </c>
      <c r="N456" s="1">
        <f t="shared" si="133"/>
        <v>8.1333333333333329</v>
      </c>
      <c r="O456" s="1">
        <f>N456*(1+Control_Panel!$B$2)</f>
        <v>8.1333333333333329</v>
      </c>
      <c r="P456" s="12">
        <f t="shared" si="134"/>
        <v>0.26639344262295084</v>
      </c>
      <c r="Q456" t="str" cm="1">
        <f t="array" ref="Q456">_xlfn.IFS(P456&lt;0.2,"Stable",P456&lt;=0.5,"Moderate",P456&gt;0.5,"Highly veriable")</f>
        <v>Moderate</v>
      </c>
      <c r="R456" s="1">
        <f t="shared" si="135"/>
        <v>205.54804791094466</v>
      </c>
      <c r="S456" s="1">
        <f t="shared" si="136"/>
        <v>223.68138124427799</v>
      </c>
      <c r="T456" s="1">
        <f t="shared" si="137"/>
        <v>-109.68138124427799</v>
      </c>
      <c r="U456" t="str">
        <f t="shared" si="138"/>
        <v xml:space="preserve"> Need to Order</v>
      </c>
      <c r="V456">
        <f t="shared" si="139"/>
        <v>2928</v>
      </c>
      <c r="W456" s="9">
        <f t="shared" si="140"/>
        <v>205516.32</v>
      </c>
      <c r="Y456">
        <f t="shared" si="141"/>
        <v>4.6076799929155077E-4</v>
      </c>
      <c r="Z456" s="12">
        <f t="shared" si="151"/>
        <v>0.9853035596261287</v>
      </c>
      <c r="AA456" t="str">
        <f t="shared" si="142"/>
        <v>C</v>
      </c>
      <c r="AB456" t="str">
        <f t="shared" si="143"/>
        <v>Y</v>
      </c>
      <c r="AC456" t="str">
        <f t="shared" si="144"/>
        <v>CY</v>
      </c>
      <c r="AD456" t="str">
        <f t="shared" si="145"/>
        <v>Low-Priority Monitoring</v>
      </c>
      <c r="AE456" t="str">
        <f t="shared" si="146"/>
        <v>Monthly Review</v>
      </c>
      <c r="AF456" t="str">
        <f t="shared" si="147"/>
        <v>Low Priority Monitoring</v>
      </c>
      <c r="AG456" t="str">
        <f t="shared" si="148"/>
        <v>Low</v>
      </c>
      <c r="AH456">
        <f t="shared" si="149"/>
        <v>40</v>
      </c>
      <c r="AI456" t="str">
        <f t="shared" si="150"/>
        <v>Low</v>
      </c>
    </row>
    <row r="457" spans="1:35">
      <c r="A457" t="s">
        <v>180</v>
      </c>
      <c r="B457" t="s">
        <v>34</v>
      </c>
      <c r="C457" t="s">
        <v>15</v>
      </c>
      <c r="D457" t="s">
        <v>41</v>
      </c>
      <c r="E457">
        <v>952</v>
      </c>
      <c r="F457">
        <v>95</v>
      </c>
      <c r="G457">
        <v>15</v>
      </c>
      <c r="H457">
        <v>23</v>
      </c>
      <c r="I457">
        <v>179.93</v>
      </c>
      <c r="J457">
        <v>0.24</v>
      </c>
      <c r="K457">
        <v>307</v>
      </c>
      <c r="L457">
        <v>0.76</v>
      </c>
      <c r="M457">
        <v>2</v>
      </c>
      <c r="N457" s="1">
        <f t="shared" si="133"/>
        <v>3.1666666666666665</v>
      </c>
      <c r="O457" s="1">
        <f>N457*(1+Control_Panel!$B$2)</f>
        <v>3.1666666666666665</v>
      </c>
      <c r="P457" s="12">
        <f t="shared" si="134"/>
        <v>0.15789473684210525</v>
      </c>
      <c r="Q457" t="str" cm="1">
        <f t="array" ref="Q457">_xlfn.IFS(P457&lt;0.2,"Stable",P457&lt;=0.5,"Moderate",P457&gt;0.5,"Highly veriable")</f>
        <v>Stable</v>
      </c>
      <c r="R457" s="1">
        <f t="shared" si="135"/>
        <v>71.937472849690792</v>
      </c>
      <c r="S457" s="1">
        <f t="shared" si="136"/>
        <v>98.104139516357463</v>
      </c>
      <c r="T457" s="1">
        <f t="shared" si="137"/>
        <v>853.89586048364254</v>
      </c>
      <c r="U457" t="str">
        <f t="shared" si="138"/>
        <v xml:space="preserve"> Safe</v>
      </c>
      <c r="V457">
        <f t="shared" si="139"/>
        <v>1140</v>
      </c>
      <c r="W457" s="9">
        <f t="shared" si="140"/>
        <v>205120.2</v>
      </c>
      <c r="Y457">
        <f t="shared" si="141"/>
        <v>4.5987989746158726E-4</v>
      </c>
      <c r="Z457" s="12">
        <f t="shared" si="151"/>
        <v>0.98576343952359025</v>
      </c>
      <c r="AA457" t="str">
        <f t="shared" si="142"/>
        <v>C</v>
      </c>
      <c r="AB457" t="str">
        <f t="shared" si="143"/>
        <v>X</v>
      </c>
      <c r="AC457" t="str">
        <f t="shared" si="144"/>
        <v>CX</v>
      </c>
      <c r="AD457" t="str">
        <f t="shared" si="145"/>
        <v>Simplified Bulk Control</v>
      </c>
      <c r="AE457" t="str">
        <f t="shared" si="146"/>
        <v>Monthly</v>
      </c>
      <c r="AF457" t="str">
        <f t="shared" si="147"/>
        <v>Bulk Ordering</v>
      </c>
      <c r="AG457" t="str">
        <f t="shared" si="148"/>
        <v>Low</v>
      </c>
      <c r="AH457">
        <f t="shared" si="149"/>
        <v>30</v>
      </c>
      <c r="AI457" t="str">
        <f t="shared" si="150"/>
        <v>Low</v>
      </c>
    </row>
    <row r="458" spans="1:35">
      <c r="A458" t="s">
        <v>67</v>
      </c>
      <c r="B458" t="s">
        <v>40</v>
      </c>
      <c r="C458" t="s">
        <v>15</v>
      </c>
      <c r="D458" t="s">
        <v>16</v>
      </c>
      <c r="E458">
        <v>276</v>
      </c>
      <c r="F458">
        <v>65</v>
      </c>
      <c r="G458">
        <v>44</v>
      </c>
      <c r="H458">
        <v>14</v>
      </c>
      <c r="I458">
        <v>262.83999999999997</v>
      </c>
      <c r="J458">
        <v>0.14000000000000001</v>
      </c>
      <c r="K458">
        <v>860</v>
      </c>
      <c r="L458">
        <v>0.7</v>
      </c>
      <c r="M458">
        <v>9</v>
      </c>
      <c r="N458" s="1">
        <f t="shared" si="133"/>
        <v>2.1666666666666665</v>
      </c>
      <c r="O458" s="1">
        <f>N458*(1+Control_Panel!$B$2)</f>
        <v>2.1666666666666665</v>
      </c>
      <c r="P458" s="12">
        <f t="shared" si="134"/>
        <v>0.67692307692307696</v>
      </c>
      <c r="Q458" t="str" cm="1">
        <f t="array" ref="Q458">_xlfn.IFS(P458&lt;0.2,"Stable",P458&lt;=0.5,"Moderate",P458&gt;0.5,"Highly veriable")</f>
        <v>Highly veriable</v>
      </c>
      <c r="R458" s="1">
        <f t="shared" si="135"/>
        <v>164.63292501805341</v>
      </c>
      <c r="S458" s="1">
        <f t="shared" si="136"/>
        <v>180.79959168472007</v>
      </c>
      <c r="T458" s="1">
        <f t="shared" si="137"/>
        <v>95.20040831527993</v>
      </c>
      <c r="U458" t="str">
        <f t="shared" si="138"/>
        <v xml:space="preserve"> Risk</v>
      </c>
      <c r="V458">
        <f t="shared" si="139"/>
        <v>780</v>
      </c>
      <c r="W458" s="9">
        <f t="shared" si="140"/>
        <v>205015.19999999998</v>
      </c>
      <c r="Y458">
        <f t="shared" si="141"/>
        <v>4.5964448725219063E-4</v>
      </c>
      <c r="Z458" s="12">
        <f t="shared" si="151"/>
        <v>0.98622308401084247</v>
      </c>
      <c r="AA458" t="str">
        <f t="shared" si="142"/>
        <v>C</v>
      </c>
      <c r="AB458" t="str">
        <f t="shared" si="143"/>
        <v>Z</v>
      </c>
      <c r="AC458" t="str">
        <f t="shared" si="144"/>
        <v>CZ</v>
      </c>
      <c r="AD458" t="str">
        <f t="shared" si="145"/>
        <v>Minimal Control</v>
      </c>
      <c r="AE458" t="str">
        <f t="shared" si="146"/>
        <v>Quarterly</v>
      </c>
      <c r="AF458" t="str">
        <f t="shared" si="147"/>
        <v>Reduce Inventory Exposure</v>
      </c>
      <c r="AG458" t="str">
        <f t="shared" si="148"/>
        <v>Low</v>
      </c>
      <c r="AH458">
        <f t="shared" si="149"/>
        <v>50</v>
      </c>
      <c r="AI458" t="str">
        <f t="shared" si="150"/>
        <v>Medium</v>
      </c>
    </row>
    <row r="459" spans="1:35">
      <c r="A459" t="s">
        <v>124</v>
      </c>
      <c r="B459" t="s">
        <v>34</v>
      </c>
      <c r="C459" t="s">
        <v>15</v>
      </c>
      <c r="D459" t="s">
        <v>19</v>
      </c>
      <c r="E459">
        <v>42</v>
      </c>
      <c r="F459">
        <v>201</v>
      </c>
      <c r="G459">
        <v>48</v>
      </c>
      <c r="H459">
        <v>20</v>
      </c>
      <c r="I459">
        <v>84.95</v>
      </c>
      <c r="J459">
        <v>0.16</v>
      </c>
      <c r="K459">
        <v>808</v>
      </c>
      <c r="L459">
        <v>0.73</v>
      </c>
      <c r="M459">
        <v>10</v>
      </c>
      <c r="N459" s="1">
        <f t="shared" si="133"/>
        <v>6.7</v>
      </c>
      <c r="O459" s="1">
        <f>N459*(1+Control_Panel!$B$2)</f>
        <v>6.7</v>
      </c>
      <c r="P459" s="12">
        <f t="shared" si="134"/>
        <v>0.23880597014925373</v>
      </c>
      <c r="Q459" t="str" cm="1">
        <f t="array" ref="Q459">_xlfn.IFS(P459&lt;0.2,"Stable",P459&lt;=0.5,"Moderate",P459&gt;0.5,"Highly veriable")</f>
        <v>Moderate</v>
      </c>
      <c r="R459" s="1">
        <f t="shared" si="135"/>
        <v>214.66252583997982</v>
      </c>
      <c r="S459" s="1">
        <f t="shared" si="136"/>
        <v>241.36252583997981</v>
      </c>
      <c r="T459" s="1">
        <f t="shared" si="137"/>
        <v>-199.36252583997981</v>
      </c>
      <c r="U459" t="str">
        <f t="shared" si="138"/>
        <v xml:space="preserve"> Need to Order</v>
      </c>
      <c r="V459">
        <f t="shared" si="139"/>
        <v>2412</v>
      </c>
      <c r="W459" s="9">
        <f t="shared" si="140"/>
        <v>204899.4</v>
      </c>
      <c r="Y459">
        <f t="shared" si="141"/>
        <v>4.5938486342125617E-4</v>
      </c>
      <c r="Z459" s="12">
        <f t="shared" si="151"/>
        <v>0.9866824688742637</v>
      </c>
      <c r="AA459" t="str">
        <f t="shared" si="142"/>
        <v>C</v>
      </c>
      <c r="AB459" t="str">
        <f t="shared" si="143"/>
        <v>Y</v>
      </c>
      <c r="AC459" t="str">
        <f t="shared" si="144"/>
        <v>CY</v>
      </c>
      <c r="AD459" t="str">
        <f t="shared" si="145"/>
        <v>Low-Priority Monitoring</v>
      </c>
      <c r="AE459" t="str">
        <f t="shared" si="146"/>
        <v>Monthly Review</v>
      </c>
      <c r="AF459" t="str">
        <f t="shared" si="147"/>
        <v>Low Priority Monitoring</v>
      </c>
      <c r="AG459" t="str">
        <f t="shared" si="148"/>
        <v>Low</v>
      </c>
      <c r="AH459">
        <f t="shared" si="149"/>
        <v>50</v>
      </c>
      <c r="AI459" t="str">
        <f t="shared" si="150"/>
        <v>Medium</v>
      </c>
    </row>
    <row r="460" spans="1:35">
      <c r="A460" t="s">
        <v>231</v>
      </c>
      <c r="B460" t="s">
        <v>14</v>
      </c>
      <c r="C460" t="s">
        <v>22</v>
      </c>
      <c r="D460" t="s">
        <v>19</v>
      </c>
      <c r="E460">
        <v>15</v>
      </c>
      <c r="F460">
        <v>160</v>
      </c>
      <c r="G460">
        <v>79</v>
      </c>
      <c r="H460">
        <v>10</v>
      </c>
      <c r="I460">
        <v>105.95</v>
      </c>
      <c r="J460">
        <v>0.09</v>
      </c>
      <c r="K460">
        <v>699</v>
      </c>
      <c r="L460">
        <v>0.97</v>
      </c>
      <c r="M460">
        <v>3</v>
      </c>
      <c r="N460" s="1">
        <f t="shared" si="133"/>
        <v>5.333333333333333</v>
      </c>
      <c r="O460" s="1">
        <f>N460*(1+Control_Panel!$B$2)</f>
        <v>5.333333333333333</v>
      </c>
      <c r="P460" s="12">
        <f t="shared" si="134"/>
        <v>0.49375000000000002</v>
      </c>
      <c r="Q460" t="str" cm="1">
        <f t="array" ref="Q460">_xlfn.IFS(P460&lt;0.2,"Stable",P460&lt;=0.5,"Moderate",P460&gt;0.5,"Highly veriable")</f>
        <v>Moderate</v>
      </c>
      <c r="R460" s="1">
        <f t="shared" si="135"/>
        <v>249.81993515330197</v>
      </c>
      <c r="S460" s="1">
        <f t="shared" si="136"/>
        <v>265.15326848663528</v>
      </c>
      <c r="T460" s="1">
        <f t="shared" si="137"/>
        <v>-250.15326848663528</v>
      </c>
      <c r="U460" t="str">
        <f t="shared" si="138"/>
        <v xml:space="preserve"> Need to Order</v>
      </c>
      <c r="V460">
        <f t="shared" si="139"/>
        <v>1920</v>
      </c>
      <c r="W460" s="9">
        <f t="shared" si="140"/>
        <v>203424</v>
      </c>
      <c r="Y460">
        <f t="shared" si="141"/>
        <v>4.560770136789352E-4</v>
      </c>
      <c r="Z460" s="12">
        <f t="shared" si="151"/>
        <v>0.98713854588794259</v>
      </c>
      <c r="AA460" t="str">
        <f t="shared" si="142"/>
        <v>C</v>
      </c>
      <c r="AB460" t="str">
        <f t="shared" si="143"/>
        <v>Y</v>
      </c>
      <c r="AC460" t="str">
        <f t="shared" si="144"/>
        <v>CY</v>
      </c>
      <c r="AD460" t="str">
        <f t="shared" si="145"/>
        <v>Low-Priority Monitoring</v>
      </c>
      <c r="AE460" t="str">
        <f t="shared" si="146"/>
        <v>Monthly Review</v>
      </c>
      <c r="AF460" t="str">
        <f t="shared" si="147"/>
        <v>Low Priority Monitoring</v>
      </c>
      <c r="AG460" t="str">
        <f t="shared" si="148"/>
        <v>Low</v>
      </c>
      <c r="AH460">
        <f t="shared" si="149"/>
        <v>30</v>
      </c>
      <c r="AI460" t="str">
        <f t="shared" si="150"/>
        <v>Low</v>
      </c>
    </row>
    <row r="461" spans="1:35">
      <c r="A461" t="s">
        <v>308</v>
      </c>
      <c r="B461" t="s">
        <v>14</v>
      </c>
      <c r="C461" t="s">
        <v>15</v>
      </c>
      <c r="D461" t="s">
        <v>41</v>
      </c>
      <c r="E461">
        <v>833</v>
      </c>
      <c r="F461">
        <v>61</v>
      </c>
      <c r="G461">
        <v>96</v>
      </c>
      <c r="H461">
        <v>13</v>
      </c>
      <c r="I461">
        <v>275.20999999999998</v>
      </c>
      <c r="J461">
        <v>0.12</v>
      </c>
      <c r="K461">
        <v>830</v>
      </c>
      <c r="L461">
        <v>0.81</v>
      </c>
      <c r="M461">
        <v>5</v>
      </c>
      <c r="N461" s="1">
        <f t="shared" si="133"/>
        <v>2.0333333333333332</v>
      </c>
      <c r="O461" s="1">
        <f>N461*(1+Control_Panel!$B$2)</f>
        <v>2.0333333333333332</v>
      </c>
      <c r="P461" s="12">
        <f t="shared" si="134"/>
        <v>1.5737704918032787</v>
      </c>
      <c r="Q461" t="str" cm="1">
        <f t="array" ref="Q461">_xlfn.IFS(P461&lt;0.2,"Stable",P461&lt;=0.5,"Moderate",P461&gt;0.5,"Highly veriable")</f>
        <v>Highly veriable</v>
      </c>
      <c r="R461" s="1">
        <f t="shared" si="135"/>
        <v>346.13292244454294</v>
      </c>
      <c r="S461" s="1">
        <f t="shared" si="136"/>
        <v>361.1662557778763</v>
      </c>
      <c r="T461" s="1">
        <f t="shared" si="137"/>
        <v>471.8337442221237</v>
      </c>
      <c r="U461" t="str">
        <f t="shared" si="138"/>
        <v xml:space="preserve"> Safe</v>
      </c>
      <c r="V461">
        <f t="shared" si="139"/>
        <v>732</v>
      </c>
      <c r="W461" s="9">
        <f t="shared" si="140"/>
        <v>201453.71999999997</v>
      </c>
      <c r="Y461">
        <f t="shared" si="141"/>
        <v>4.516596419896982E-4</v>
      </c>
      <c r="Z461" s="12">
        <f t="shared" si="151"/>
        <v>0.98759020552993226</v>
      </c>
      <c r="AA461" t="str">
        <f t="shared" si="142"/>
        <v>C</v>
      </c>
      <c r="AB461" t="str">
        <f t="shared" si="143"/>
        <v>Z</v>
      </c>
      <c r="AC461" t="str">
        <f t="shared" si="144"/>
        <v>CZ</v>
      </c>
      <c r="AD461" t="str">
        <f t="shared" si="145"/>
        <v>Minimal Control</v>
      </c>
      <c r="AE461" t="str">
        <f t="shared" si="146"/>
        <v>Quarterly</v>
      </c>
      <c r="AF461" t="str">
        <f t="shared" si="147"/>
        <v>Reduce Inventory Exposure</v>
      </c>
      <c r="AG461" t="str">
        <f t="shared" si="148"/>
        <v>Low</v>
      </c>
      <c r="AH461">
        <f t="shared" si="149"/>
        <v>40</v>
      </c>
      <c r="AI461" t="str">
        <f t="shared" si="150"/>
        <v>Low</v>
      </c>
    </row>
    <row r="462" spans="1:35">
      <c r="A462" t="s">
        <v>296</v>
      </c>
      <c r="B462" t="s">
        <v>21</v>
      </c>
      <c r="C462" t="s">
        <v>15</v>
      </c>
      <c r="D462" t="s">
        <v>41</v>
      </c>
      <c r="E462">
        <v>395</v>
      </c>
      <c r="F462">
        <v>84</v>
      </c>
      <c r="G462">
        <v>30</v>
      </c>
      <c r="H462">
        <v>22</v>
      </c>
      <c r="I462">
        <v>199.3</v>
      </c>
      <c r="J462">
        <v>0.14000000000000001</v>
      </c>
      <c r="K462">
        <v>698</v>
      </c>
      <c r="L462">
        <v>0.85</v>
      </c>
      <c r="M462">
        <v>4</v>
      </c>
      <c r="N462" s="1">
        <f t="shared" si="133"/>
        <v>2.8</v>
      </c>
      <c r="O462" s="1">
        <f>N462*(1+Control_Panel!$B$2)</f>
        <v>2.8</v>
      </c>
      <c r="P462" s="12">
        <f t="shared" si="134"/>
        <v>0.35714285714285715</v>
      </c>
      <c r="Q462" t="str" cm="1">
        <f t="array" ref="Q462">_xlfn.IFS(P462&lt;0.2,"Stable",P462&lt;=0.5,"Moderate",P462&gt;0.5,"Highly veriable")</f>
        <v>Moderate</v>
      </c>
      <c r="R462" s="1">
        <f t="shared" si="135"/>
        <v>140.7124727947029</v>
      </c>
      <c r="S462" s="1">
        <f t="shared" si="136"/>
        <v>165.51247279470292</v>
      </c>
      <c r="T462" s="1">
        <f t="shared" si="137"/>
        <v>229.48752720529708</v>
      </c>
      <c r="U462" t="str">
        <f t="shared" si="138"/>
        <v xml:space="preserve"> Safe</v>
      </c>
      <c r="V462">
        <f t="shared" si="139"/>
        <v>1008</v>
      </c>
      <c r="W462" s="9">
        <f t="shared" si="140"/>
        <v>200894.40000000002</v>
      </c>
      <c r="Y462">
        <f t="shared" si="141"/>
        <v>4.5040564543427267E-4</v>
      </c>
      <c r="Z462" s="12">
        <f t="shared" si="151"/>
        <v>0.98804061117536657</v>
      </c>
      <c r="AA462" t="str">
        <f t="shared" si="142"/>
        <v>C</v>
      </c>
      <c r="AB462" t="str">
        <f t="shared" si="143"/>
        <v>Y</v>
      </c>
      <c r="AC462" t="str">
        <f t="shared" si="144"/>
        <v>CY</v>
      </c>
      <c r="AD462" t="str">
        <f t="shared" si="145"/>
        <v>Low-Priority Monitoring</v>
      </c>
      <c r="AE462" t="str">
        <f t="shared" si="146"/>
        <v>Monthly Review</v>
      </c>
      <c r="AF462" t="str">
        <f t="shared" si="147"/>
        <v>Low Priority Monitoring</v>
      </c>
      <c r="AG462" t="str">
        <f t="shared" si="148"/>
        <v>Low</v>
      </c>
      <c r="AH462">
        <f t="shared" si="149"/>
        <v>30</v>
      </c>
      <c r="AI462" t="str">
        <f t="shared" si="150"/>
        <v>Low</v>
      </c>
    </row>
    <row r="463" spans="1:35">
      <c r="A463" t="s">
        <v>279</v>
      </c>
      <c r="B463" t="s">
        <v>29</v>
      </c>
      <c r="C463" t="s">
        <v>15</v>
      </c>
      <c r="D463" t="s">
        <v>41</v>
      </c>
      <c r="E463">
        <v>537</v>
      </c>
      <c r="F463">
        <v>58</v>
      </c>
      <c r="G463">
        <v>60</v>
      </c>
      <c r="H463">
        <v>22</v>
      </c>
      <c r="I463">
        <v>288.17</v>
      </c>
      <c r="J463">
        <v>7.0000000000000007E-2</v>
      </c>
      <c r="K463">
        <v>873</v>
      </c>
      <c r="L463">
        <v>0.89</v>
      </c>
      <c r="M463">
        <v>9</v>
      </c>
      <c r="N463" s="1">
        <f t="shared" si="133"/>
        <v>1.9333333333333333</v>
      </c>
      <c r="O463" s="1">
        <f>N463*(1+Control_Panel!$B$2)</f>
        <v>1.9333333333333333</v>
      </c>
      <c r="P463" s="12">
        <f t="shared" si="134"/>
        <v>1.0344827586206897</v>
      </c>
      <c r="Q463" t="str" cm="1">
        <f t="array" ref="Q463">_xlfn.IFS(P463&lt;0.2,"Stable",P463&lt;=0.5,"Moderate",P463&gt;0.5,"Highly veriable")</f>
        <v>Highly veriable</v>
      </c>
      <c r="R463" s="1">
        <f t="shared" si="135"/>
        <v>281.42494558940581</v>
      </c>
      <c r="S463" s="1">
        <f t="shared" si="136"/>
        <v>305.35827892273915</v>
      </c>
      <c r="T463" s="1">
        <f t="shared" si="137"/>
        <v>231.64172107726085</v>
      </c>
      <c r="U463" t="str">
        <f t="shared" si="138"/>
        <v xml:space="preserve"> Risk</v>
      </c>
      <c r="V463">
        <f t="shared" si="139"/>
        <v>696</v>
      </c>
      <c r="W463" s="9">
        <f t="shared" si="140"/>
        <v>200566.32</v>
      </c>
      <c r="Y463">
        <f t="shared" si="141"/>
        <v>4.4967008941999809E-4</v>
      </c>
      <c r="Z463" s="12">
        <f t="shared" si="151"/>
        <v>0.98849028126478655</v>
      </c>
      <c r="AA463" t="str">
        <f t="shared" si="142"/>
        <v>C</v>
      </c>
      <c r="AB463" t="str">
        <f t="shared" si="143"/>
        <v>Z</v>
      </c>
      <c r="AC463" t="str">
        <f t="shared" si="144"/>
        <v>CZ</v>
      </c>
      <c r="AD463" t="str">
        <f t="shared" si="145"/>
        <v>Minimal Control</v>
      </c>
      <c r="AE463" t="str">
        <f t="shared" si="146"/>
        <v>Quarterly</v>
      </c>
      <c r="AF463" t="str">
        <f t="shared" si="147"/>
        <v>Reduce Inventory Exposure</v>
      </c>
      <c r="AG463" t="str">
        <f t="shared" si="148"/>
        <v>Low</v>
      </c>
      <c r="AH463">
        <f t="shared" si="149"/>
        <v>50</v>
      </c>
      <c r="AI463" t="str">
        <f t="shared" si="150"/>
        <v>Medium</v>
      </c>
    </row>
    <row r="464" spans="1:35">
      <c r="A464" t="s">
        <v>438</v>
      </c>
      <c r="B464" t="s">
        <v>21</v>
      </c>
      <c r="C464" t="s">
        <v>22</v>
      </c>
      <c r="D464" t="s">
        <v>25</v>
      </c>
      <c r="E464">
        <v>70</v>
      </c>
      <c r="F464">
        <v>96</v>
      </c>
      <c r="G464">
        <v>25</v>
      </c>
      <c r="H464">
        <v>7</v>
      </c>
      <c r="I464">
        <v>173.83</v>
      </c>
      <c r="J464">
        <v>0.13</v>
      </c>
      <c r="K464">
        <v>799</v>
      </c>
      <c r="L464">
        <v>0.82</v>
      </c>
      <c r="M464">
        <v>10</v>
      </c>
      <c r="N464" s="1">
        <f t="shared" si="133"/>
        <v>3.2</v>
      </c>
      <c r="O464" s="1">
        <f>N464*(1+Control_Panel!$B$2)</f>
        <v>3.2</v>
      </c>
      <c r="P464" s="12">
        <f t="shared" si="134"/>
        <v>0.26041666666666669</v>
      </c>
      <c r="Q464" t="str" cm="1">
        <f t="array" ref="Q464">_xlfn.IFS(P464&lt;0.2,"Stable",P464&lt;=0.5,"Moderate",P464&gt;0.5,"Highly veriable")</f>
        <v>Moderate</v>
      </c>
      <c r="R464" s="1">
        <f t="shared" si="135"/>
        <v>66.143782776614771</v>
      </c>
      <c r="S464" s="1">
        <f t="shared" si="136"/>
        <v>76.343782776614773</v>
      </c>
      <c r="T464" s="1">
        <f t="shared" si="137"/>
        <v>-6.3437827766147734</v>
      </c>
      <c r="U464" t="str">
        <f t="shared" si="138"/>
        <v xml:space="preserve"> Need to Order</v>
      </c>
      <c r="V464">
        <f t="shared" si="139"/>
        <v>1152</v>
      </c>
      <c r="W464" s="9">
        <f t="shared" si="140"/>
        <v>200252.16</v>
      </c>
      <c r="Y464">
        <f t="shared" si="141"/>
        <v>4.4896574207348356E-4</v>
      </c>
      <c r="Z464" s="12">
        <f t="shared" si="151"/>
        <v>0.98893924700686009</v>
      </c>
      <c r="AA464" t="str">
        <f t="shared" si="142"/>
        <v>C</v>
      </c>
      <c r="AB464" t="str">
        <f t="shared" si="143"/>
        <v>Y</v>
      </c>
      <c r="AC464" t="str">
        <f t="shared" si="144"/>
        <v>CY</v>
      </c>
      <c r="AD464" t="str">
        <f t="shared" si="145"/>
        <v>Low-Priority Monitoring</v>
      </c>
      <c r="AE464" t="str">
        <f t="shared" si="146"/>
        <v>Monthly Review</v>
      </c>
      <c r="AF464" t="str">
        <f t="shared" si="147"/>
        <v>Low Priority Monitoring</v>
      </c>
      <c r="AG464" t="str">
        <f t="shared" si="148"/>
        <v>Low</v>
      </c>
      <c r="AH464">
        <f t="shared" si="149"/>
        <v>50</v>
      </c>
      <c r="AI464" t="str">
        <f t="shared" si="150"/>
        <v>Medium</v>
      </c>
    </row>
    <row r="465" spans="1:35">
      <c r="A465" t="s">
        <v>152</v>
      </c>
      <c r="B465" t="s">
        <v>14</v>
      </c>
      <c r="C465" t="s">
        <v>22</v>
      </c>
      <c r="D465" t="s">
        <v>19</v>
      </c>
      <c r="E465">
        <v>586</v>
      </c>
      <c r="F465">
        <v>68</v>
      </c>
      <c r="G465">
        <v>51</v>
      </c>
      <c r="H465">
        <v>8</v>
      </c>
      <c r="I465">
        <v>240.64</v>
      </c>
      <c r="J465">
        <v>0.12</v>
      </c>
      <c r="K465">
        <v>851</v>
      </c>
      <c r="L465">
        <v>0.89</v>
      </c>
      <c r="M465">
        <v>3</v>
      </c>
      <c r="N465" s="1">
        <f t="shared" si="133"/>
        <v>2.2666666666666666</v>
      </c>
      <c r="O465" s="1">
        <f>N465*(1+Control_Panel!$B$2)</f>
        <v>2.2666666666666666</v>
      </c>
      <c r="P465" s="12">
        <f t="shared" si="134"/>
        <v>0.75</v>
      </c>
      <c r="Q465" t="str" cm="1">
        <f t="array" ref="Q465">_xlfn.IFS(P465&lt;0.2,"Stable",P465&lt;=0.5,"Moderate",P465&gt;0.5,"Highly veriable")</f>
        <v>Highly veriable</v>
      </c>
      <c r="R465" s="1">
        <f t="shared" si="135"/>
        <v>144.24978336205569</v>
      </c>
      <c r="S465" s="1">
        <f t="shared" si="136"/>
        <v>154.51645002872237</v>
      </c>
      <c r="T465" s="1">
        <f t="shared" si="137"/>
        <v>431.48354997127763</v>
      </c>
      <c r="U465" t="str">
        <f t="shared" si="138"/>
        <v xml:space="preserve"> Safe</v>
      </c>
      <c r="V465">
        <f t="shared" si="139"/>
        <v>816</v>
      </c>
      <c r="W465" s="9">
        <f t="shared" si="140"/>
        <v>196362.23999999999</v>
      </c>
      <c r="Y465">
        <f t="shared" si="141"/>
        <v>4.4024453367599864E-4</v>
      </c>
      <c r="Z465" s="12">
        <f t="shared" si="151"/>
        <v>0.98937949154053606</v>
      </c>
      <c r="AA465" t="str">
        <f t="shared" si="142"/>
        <v>C</v>
      </c>
      <c r="AB465" t="str">
        <f t="shared" si="143"/>
        <v>Z</v>
      </c>
      <c r="AC465" t="str">
        <f t="shared" si="144"/>
        <v>CZ</v>
      </c>
      <c r="AD465" t="str">
        <f t="shared" si="145"/>
        <v>Minimal Control</v>
      </c>
      <c r="AE465" t="str">
        <f t="shared" si="146"/>
        <v>Quarterly</v>
      </c>
      <c r="AF465" t="str">
        <f t="shared" si="147"/>
        <v>Reduce Inventory Exposure</v>
      </c>
      <c r="AG465" t="str">
        <f t="shared" si="148"/>
        <v>Low</v>
      </c>
      <c r="AH465">
        <f t="shared" si="149"/>
        <v>30</v>
      </c>
      <c r="AI465" t="str">
        <f t="shared" si="150"/>
        <v>Low</v>
      </c>
    </row>
    <row r="466" spans="1:35">
      <c r="A466" t="s">
        <v>352</v>
      </c>
      <c r="B466" t="s">
        <v>29</v>
      </c>
      <c r="C466" t="s">
        <v>22</v>
      </c>
      <c r="D466" t="s">
        <v>41</v>
      </c>
      <c r="E466">
        <v>109</v>
      </c>
      <c r="F466">
        <v>78</v>
      </c>
      <c r="G466">
        <v>50</v>
      </c>
      <c r="H466">
        <v>6</v>
      </c>
      <c r="I466">
        <v>209.57</v>
      </c>
      <c r="J466">
        <v>0.08</v>
      </c>
      <c r="K466">
        <v>356</v>
      </c>
      <c r="L466">
        <v>0.71</v>
      </c>
      <c r="M466">
        <v>4</v>
      </c>
      <c r="N466" s="1">
        <f t="shared" si="133"/>
        <v>2.6</v>
      </c>
      <c r="O466" s="1">
        <f>N466*(1+Control_Panel!$B$2)</f>
        <v>2.6</v>
      </c>
      <c r="P466" s="12">
        <f t="shared" si="134"/>
        <v>0.64102564102564108</v>
      </c>
      <c r="Q466" t="str" cm="1">
        <f t="array" ref="Q466">_xlfn.IFS(P466&lt;0.2,"Stable",P466&lt;=0.5,"Moderate",P466&gt;0.5,"Highly veriable")</f>
        <v>Highly veriable</v>
      </c>
      <c r="R466" s="1">
        <f t="shared" si="135"/>
        <v>122.4744871391589</v>
      </c>
      <c r="S466" s="1">
        <f t="shared" si="136"/>
        <v>131.07448713915889</v>
      </c>
      <c r="T466" s="1">
        <f t="shared" si="137"/>
        <v>-22.07448713915889</v>
      </c>
      <c r="U466" t="str">
        <f t="shared" si="138"/>
        <v xml:space="preserve"> Need to Order</v>
      </c>
      <c r="V466">
        <f t="shared" si="139"/>
        <v>936</v>
      </c>
      <c r="W466" s="9">
        <f t="shared" si="140"/>
        <v>196157.52</v>
      </c>
      <c r="Y466">
        <f t="shared" si="141"/>
        <v>4.3978555102773515E-4</v>
      </c>
      <c r="Z466" s="12">
        <f t="shared" si="151"/>
        <v>0.98981927709156381</v>
      </c>
      <c r="AA466" t="str">
        <f t="shared" si="142"/>
        <v>C</v>
      </c>
      <c r="AB466" t="str">
        <f t="shared" si="143"/>
        <v>Z</v>
      </c>
      <c r="AC466" t="str">
        <f t="shared" si="144"/>
        <v>CZ</v>
      </c>
      <c r="AD466" t="str">
        <f t="shared" si="145"/>
        <v>Minimal Control</v>
      </c>
      <c r="AE466" t="str">
        <f t="shared" si="146"/>
        <v>Quarterly</v>
      </c>
      <c r="AF466" t="str">
        <f t="shared" si="147"/>
        <v>Reduce Inventory Exposure</v>
      </c>
      <c r="AG466" t="str">
        <f t="shared" si="148"/>
        <v>Low</v>
      </c>
      <c r="AH466">
        <f t="shared" si="149"/>
        <v>30</v>
      </c>
      <c r="AI466" t="str">
        <f t="shared" si="150"/>
        <v>Low</v>
      </c>
    </row>
    <row r="467" spans="1:35">
      <c r="A467" t="s">
        <v>177</v>
      </c>
      <c r="B467" t="s">
        <v>14</v>
      </c>
      <c r="C467" t="s">
        <v>22</v>
      </c>
      <c r="D467" t="s">
        <v>16</v>
      </c>
      <c r="E467">
        <v>109</v>
      </c>
      <c r="F467">
        <v>56</v>
      </c>
      <c r="G467">
        <v>73</v>
      </c>
      <c r="H467">
        <v>25</v>
      </c>
      <c r="I467">
        <v>286.92</v>
      </c>
      <c r="J467">
        <v>0.23</v>
      </c>
      <c r="K467">
        <v>897</v>
      </c>
      <c r="L467">
        <v>0.91</v>
      </c>
      <c r="M467">
        <v>8</v>
      </c>
      <c r="N467" s="1">
        <f t="shared" si="133"/>
        <v>1.8666666666666667</v>
      </c>
      <c r="O467" s="1">
        <f>N467*(1+Control_Panel!$B$2)</f>
        <v>1.8666666666666667</v>
      </c>
      <c r="P467" s="12">
        <f t="shared" si="134"/>
        <v>1.3035714285714286</v>
      </c>
      <c r="Q467" t="str" cm="1">
        <f t="array" ref="Q467">_xlfn.IFS(P467&lt;0.2,"Stable",P467&lt;=0.5,"Moderate",P467&gt;0.5,"Highly veriable")</f>
        <v>Highly veriable</v>
      </c>
      <c r="R467" s="1">
        <f t="shared" si="135"/>
        <v>365</v>
      </c>
      <c r="S467" s="1">
        <f t="shared" si="136"/>
        <v>391.86666666666667</v>
      </c>
      <c r="T467" s="1">
        <f t="shared" si="137"/>
        <v>-282.86666666666667</v>
      </c>
      <c r="U467" t="str">
        <f t="shared" si="138"/>
        <v xml:space="preserve"> Need to Order</v>
      </c>
      <c r="V467">
        <f t="shared" si="139"/>
        <v>672</v>
      </c>
      <c r="W467" s="9">
        <f t="shared" si="140"/>
        <v>192810.24000000002</v>
      </c>
      <c r="Y467">
        <f t="shared" si="141"/>
        <v>4.3228094259241184E-4</v>
      </c>
      <c r="Z467" s="12">
        <f t="shared" si="151"/>
        <v>0.99025155803415621</v>
      </c>
      <c r="AA467" t="str">
        <f t="shared" si="142"/>
        <v>C</v>
      </c>
      <c r="AB467" t="str">
        <f t="shared" si="143"/>
        <v>Z</v>
      </c>
      <c r="AC467" t="str">
        <f t="shared" si="144"/>
        <v>CZ</v>
      </c>
      <c r="AD467" t="str">
        <f t="shared" si="145"/>
        <v>Minimal Control</v>
      </c>
      <c r="AE467" t="str">
        <f t="shared" si="146"/>
        <v>Quarterly</v>
      </c>
      <c r="AF467" t="str">
        <f t="shared" si="147"/>
        <v>Reduce Inventory Exposure</v>
      </c>
      <c r="AG467" t="str">
        <f t="shared" si="148"/>
        <v>Low</v>
      </c>
      <c r="AH467">
        <f t="shared" si="149"/>
        <v>50</v>
      </c>
      <c r="AI467" t="str">
        <f t="shared" si="150"/>
        <v>Medium</v>
      </c>
    </row>
    <row r="468" spans="1:35">
      <c r="A468" t="s">
        <v>35</v>
      </c>
      <c r="B468" t="s">
        <v>36</v>
      </c>
      <c r="C468" t="s">
        <v>22</v>
      </c>
      <c r="D468" t="s">
        <v>19</v>
      </c>
      <c r="E468">
        <v>214</v>
      </c>
      <c r="F468">
        <v>130</v>
      </c>
      <c r="G468">
        <v>28</v>
      </c>
      <c r="H468">
        <v>1</v>
      </c>
      <c r="I468">
        <v>119.34</v>
      </c>
      <c r="J468">
        <v>0.17</v>
      </c>
      <c r="K468">
        <v>750</v>
      </c>
      <c r="L468">
        <v>0.71</v>
      </c>
      <c r="M468">
        <v>6</v>
      </c>
      <c r="N468" s="1">
        <f t="shared" si="133"/>
        <v>4.333333333333333</v>
      </c>
      <c r="O468" s="1">
        <f>N468*(1+Control_Panel!$B$2)</f>
        <v>4.333333333333333</v>
      </c>
      <c r="P468" s="12">
        <f t="shared" si="134"/>
        <v>0.2153846153846154</v>
      </c>
      <c r="Q468" t="str" cm="1">
        <f t="array" ref="Q468">_xlfn.IFS(P468&lt;0.2,"Stable",P468&lt;=0.5,"Moderate",P468&gt;0.5,"Highly veriable")</f>
        <v>Moderate</v>
      </c>
      <c r="R468" s="1">
        <f t="shared" si="135"/>
        <v>28</v>
      </c>
      <c r="S468" s="1">
        <f t="shared" si="136"/>
        <v>33.333333333333336</v>
      </c>
      <c r="T468" s="1">
        <f t="shared" si="137"/>
        <v>180.66666666666666</v>
      </c>
      <c r="U468" t="str">
        <f t="shared" si="138"/>
        <v xml:space="preserve"> Safe</v>
      </c>
      <c r="V468">
        <f t="shared" si="139"/>
        <v>1560</v>
      </c>
      <c r="W468" s="9">
        <f t="shared" si="140"/>
        <v>186170.4</v>
      </c>
      <c r="Y468">
        <f t="shared" si="141"/>
        <v>4.1739440807089052E-4</v>
      </c>
      <c r="Z468" s="12">
        <f t="shared" si="151"/>
        <v>0.99066895244222708</v>
      </c>
      <c r="AA468" t="str">
        <f t="shared" si="142"/>
        <v>C</v>
      </c>
      <c r="AB468" t="str">
        <f t="shared" si="143"/>
        <v>Y</v>
      </c>
      <c r="AC468" t="str">
        <f t="shared" si="144"/>
        <v>CY</v>
      </c>
      <c r="AD468" t="str">
        <f t="shared" si="145"/>
        <v>Low-Priority Monitoring</v>
      </c>
      <c r="AE468" t="str">
        <f t="shared" si="146"/>
        <v>Monthly Review</v>
      </c>
      <c r="AF468" t="str">
        <f t="shared" si="147"/>
        <v>Low Priority Monitoring</v>
      </c>
      <c r="AG468" t="str">
        <f t="shared" si="148"/>
        <v>Low</v>
      </c>
      <c r="AH468">
        <f t="shared" si="149"/>
        <v>40</v>
      </c>
      <c r="AI468" t="str">
        <f t="shared" si="150"/>
        <v>Low</v>
      </c>
    </row>
    <row r="469" spans="1:35">
      <c r="A469" t="s">
        <v>70</v>
      </c>
      <c r="B469" t="s">
        <v>21</v>
      </c>
      <c r="C469" t="s">
        <v>22</v>
      </c>
      <c r="D469" t="s">
        <v>41</v>
      </c>
      <c r="E469">
        <v>897</v>
      </c>
      <c r="F469">
        <v>234</v>
      </c>
      <c r="G469">
        <v>42</v>
      </c>
      <c r="H469">
        <v>12</v>
      </c>
      <c r="I469">
        <v>65.430000000000007</v>
      </c>
      <c r="J469">
        <v>7.0000000000000007E-2</v>
      </c>
      <c r="K469">
        <v>802</v>
      </c>
      <c r="L469">
        <v>0.77</v>
      </c>
      <c r="M469">
        <v>7</v>
      </c>
      <c r="N469" s="1">
        <f t="shared" si="133"/>
        <v>7.8</v>
      </c>
      <c r="O469" s="1">
        <f>N469*(1+Control_Panel!$B$2)</f>
        <v>7.8</v>
      </c>
      <c r="P469" s="12">
        <f t="shared" si="134"/>
        <v>0.17948717948717949</v>
      </c>
      <c r="Q469" t="str" cm="1">
        <f t="array" ref="Q469">_xlfn.IFS(P469&lt;0.2,"Stable",P469&lt;=0.5,"Moderate",P469&gt;0.5,"Highly veriable")</f>
        <v>Stable</v>
      </c>
      <c r="R469" s="1">
        <f t="shared" si="135"/>
        <v>145.4922678357857</v>
      </c>
      <c r="S469" s="1">
        <f t="shared" si="136"/>
        <v>165.29226783578571</v>
      </c>
      <c r="T469" s="1">
        <f t="shared" si="137"/>
        <v>731.70773216421435</v>
      </c>
      <c r="U469" t="str">
        <f t="shared" si="138"/>
        <v xml:space="preserve"> Safe</v>
      </c>
      <c r="V469">
        <f t="shared" si="139"/>
        <v>2808</v>
      </c>
      <c r="W469" s="9">
        <f t="shared" si="140"/>
        <v>183727.44000000003</v>
      </c>
      <c r="Y469">
        <f t="shared" si="141"/>
        <v>4.1191728687901016E-4</v>
      </c>
      <c r="Z469" s="12">
        <f t="shared" si="151"/>
        <v>0.99108086972910614</v>
      </c>
      <c r="AA469" t="str">
        <f t="shared" si="142"/>
        <v>C</v>
      </c>
      <c r="AB469" t="str">
        <f t="shared" si="143"/>
        <v>X</v>
      </c>
      <c r="AC469" t="str">
        <f t="shared" si="144"/>
        <v>CX</v>
      </c>
      <c r="AD469" t="str">
        <f t="shared" si="145"/>
        <v>Simplified Bulk Control</v>
      </c>
      <c r="AE469" t="str">
        <f t="shared" si="146"/>
        <v>Monthly</v>
      </c>
      <c r="AF469" t="str">
        <f t="shared" si="147"/>
        <v>Bulk Ordering</v>
      </c>
      <c r="AG469" t="str">
        <f t="shared" si="148"/>
        <v>Low</v>
      </c>
      <c r="AH469">
        <f t="shared" si="149"/>
        <v>40</v>
      </c>
      <c r="AI469" t="str">
        <f t="shared" si="150"/>
        <v>Low</v>
      </c>
    </row>
    <row r="470" spans="1:35">
      <c r="A470" t="s">
        <v>106</v>
      </c>
      <c r="B470" t="s">
        <v>14</v>
      </c>
      <c r="C470" t="s">
        <v>22</v>
      </c>
      <c r="D470" t="s">
        <v>41</v>
      </c>
      <c r="E470">
        <v>897</v>
      </c>
      <c r="F470">
        <v>178</v>
      </c>
      <c r="G470">
        <v>100</v>
      </c>
      <c r="H470">
        <v>25</v>
      </c>
      <c r="I470">
        <v>84.67</v>
      </c>
      <c r="J470">
        <v>0.08</v>
      </c>
      <c r="K470">
        <v>829</v>
      </c>
      <c r="L470">
        <v>0.84</v>
      </c>
      <c r="M470">
        <v>10</v>
      </c>
      <c r="N470" s="1">
        <f t="shared" si="133"/>
        <v>5.9333333333333336</v>
      </c>
      <c r="O470" s="1">
        <f>N470*(1+Control_Panel!$B$2)</f>
        <v>5.9333333333333336</v>
      </c>
      <c r="P470" s="12">
        <f t="shared" si="134"/>
        <v>0.5617977528089888</v>
      </c>
      <c r="Q470" t="str" cm="1">
        <f t="array" ref="Q470">_xlfn.IFS(P470&lt;0.2,"Stable",P470&lt;=0.5,"Moderate",P470&gt;0.5,"Highly veriable")</f>
        <v>Highly veriable</v>
      </c>
      <c r="R470" s="1">
        <f t="shared" si="135"/>
        <v>500</v>
      </c>
      <c r="S470" s="1">
        <f t="shared" si="136"/>
        <v>530.93333333333328</v>
      </c>
      <c r="T470" s="1">
        <f t="shared" si="137"/>
        <v>366.06666666666672</v>
      </c>
      <c r="U470" t="str">
        <f t="shared" si="138"/>
        <v xml:space="preserve"> Risk</v>
      </c>
      <c r="V470">
        <f t="shared" si="139"/>
        <v>2136</v>
      </c>
      <c r="W470" s="9">
        <f t="shared" si="140"/>
        <v>180855.12</v>
      </c>
      <c r="Y470">
        <f t="shared" si="141"/>
        <v>4.0547753971087713E-4</v>
      </c>
      <c r="Z470" s="12">
        <f t="shared" si="151"/>
        <v>0.99148634726881701</v>
      </c>
      <c r="AA470" t="str">
        <f t="shared" si="142"/>
        <v>C</v>
      </c>
      <c r="AB470" t="str">
        <f t="shared" si="143"/>
        <v>Z</v>
      </c>
      <c r="AC470" t="str">
        <f t="shared" si="144"/>
        <v>CZ</v>
      </c>
      <c r="AD470" t="str">
        <f t="shared" si="145"/>
        <v>Minimal Control</v>
      </c>
      <c r="AE470" t="str">
        <f t="shared" si="146"/>
        <v>Quarterly</v>
      </c>
      <c r="AF470" t="str">
        <f t="shared" si="147"/>
        <v>Reduce Inventory Exposure</v>
      </c>
      <c r="AG470" t="str">
        <f t="shared" si="148"/>
        <v>Low</v>
      </c>
      <c r="AH470">
        <f t="shared" si="149"/>
        <v>50</v>
      </c>
      <c r="AI470" t="str">
        <f t="shared" si="150"/>
        <v>Medium</v>
      </c>
    </row>
    <row r="471" spans="1:35">
      <c r="A471" t="s">
        <v>500</v>
      </c>
      <c r="B471" t="s">
        <v>36</v>
      </c>
      <c r="C471" t="s">
        <v>22</v>
      </c>
      <c r="D471" t="s">
        <v>41</v>
      </c>
      <c r="E471">
        <v>218</v>
      </c>
      <c r="F471">
        <v>69</v>
      </c>
      <c r="G471">
        <v>39</v>
      </c>
      <c r="H471">
        <v>13</v>
      </c>
      <c r="I471">
        <v>210.35</v>
      </c>
      <c r="J471">
        <v>0.2</v>
      </c>
      <c r="K471">
        <v>688</v>
      </c>
      <c r="L471">
        <v>0.92</v>
      </c>
      <c r="M471">
        <v>8</v>
      </c>
      <c r="N471" s="1">
        <f t="shared" si="133"/>
        <v>2.2999999999999998</v>
      </c>
      <c r="O471" s="1">
        <f>N471*(1+Control_Panel!$B$2)</f>
        <v>2.2999999999999998</v>
      </c>
      <c r="P471" s="12">
        <f t="shared" si="134"/>
        <v>0.56521739130434778</v>
      </c>
      <c r="Q471" t="str" cm="1">
        <f t="array" ref="Q471">_xlfn.IFS(P471&lt;0.2,"Stable",P471&lt;=0.5,"Moderate",P471&gt;0.5,"Highly veriable")</f>
        <v>Highly veriable</v>
      </c>
      <c r="R471" s="1">
        <f t="shared" si="135"/>
        <v>140.61649974309557</v>
      </c>
      <c r="S471" s="1">
        <f t="shared" si="136"/>
        <v>155.91649974309559</v>
      </c>
      <c r="T471" s="1">
        <f t="shared" si="137"/>
        <v>62.083500256904415</v>
      </c>
      <c r="U471" t="str">
        <f t="shared" si="138"/>
        <v xml:space="preserve"> Risk</v>
      </c>
      <c r="V471">
        <f t="shared" si="139"/>
        <v>828</v>
      </c>
      <c r="W471" s="9">
        <f t="shared" si="140"/>
        <v>174169.8</v>
      </c>
      <c r="Y471">
        <f t="shared" si="141"/>
        <v>3.904890389386572E-4</v>
      </c>
      <c r="Z471" s="12">
        <f t="shared" si="151"/>
        <v>0.99187683630775569</v>
      </c>
      <c r="AA471" t="str">
        <f t="shared" si="142"/>
        <v>C</v>
      </c>
      <c r="AB471" t="str">
        <f t="shared" si="143"/>
        <v>Z</v>
      </c>
      <c r="AC471" t="str">
        <f t="shared" si="144"/>
        <v>CZ</v>
      </c>
      <c r="AD471" t="str">
        <f t="shared" si="145"/>
        <v>Minimal Control</v>
      </c>
      <c r="AE471" t="str">
        <f t="shared" si="146"/>
        <v>Quarterly</v>
      </c>
      <c r="AF471" t="str">
        <f t="shared" si="147"/>
        <v>Reduce Inventory Exposure</v>
      </c>
      <c r="AG471" t="str">
        <f t="shared" si="148"/>
        <v>Low</v>
      </c>
      <c r="AH471">
        <f t="shared" si="149"/>
        <v>50</v>
      </c>
      <c r="AI471" t="str">
        <f t="shared" si="150"/>
        <v>Medium</v>
      </c>
    </row>
    <row r="472" spans="1:35">
      <c r="A472" t="s">
        <v>142</v>
      </c>
      <c r="B472" t="s">
        <v>14</v>
      </c>
      <c r="C472" t="s">
        <v>22</v>
      </c>
      <c r="D472" t="s">
        <v>25</v>
      </c>
      <c r="E472">
        <v>345</v>
      </c>
      <c r="F472">
        <v>136</v>
      </c>
      <c r="G472">
        <v>40</v>
      </c>
      <c r="H472">
        <v>16</v>
      </c>
      <c r="I472">
        <v>106.6</v>
      </c>
      <c r="J472">
        <v>0.06</v>
      </c>
      <c r="K472">
        <v>940</v>
      </c>
      <c r="L472">
        <v>0.7</v>
      </c>
      <c r="M472">
        <v>5</v>
      </c>
      <c r="N472" s="1">
        <f t="shared" si="133"/>
        <v>4.5333333333333332</v>
      </c>
      <c r="O472" s="1">
        <f>N472*(1+Control_Panel!$B$2)</f>
        <v>4.5333333333333332</v>
      </c>
      <c r="P472" s="12">
        <f t="shared" si="134"/>
        <v>0.29411764705882354</v>
      </c>
      <c r="Q472" t="str" cm="1">
        <f t="array" ref="Q472">_xlfn.IFS(P472&lt;0.2,"Stable",P472&lt;=0.5,"Moderate",P472&gt;0.5,"Highly veriable")</f>
        <v>Moderate</v>
      </c>
      <c r="R472" s="1">
        <f t="shared" si="135"/>
        <v>160</v>
      </c>
      <c r="S472" s="1">
        <f t="shared" si="136"/>
        <v>180.53333333333333</v>
      </c>
      <c r="T472" s="1">
        <f t="shared" si="137"/>
        <v>164.46666666666667</v>
      </c>
      <c r="U472" t="str">
        <f t="shared" si="138"/>
        <v xml:space="preserve"> Safe</v>
      </c>
      <c r="V472">
        <f t="shared" si="139"/>
        <v>1632</v>
      </c>
      <c r="W472" s="9">
        <f t="shared" si="140"/>
        <v>173971.19999999998</v>
      </c>
      <c r="Y472">
        <f t="shared" si="141"/>
        <v>3.9004377734259851E-4</v>
      </c>
      <c r="Z472" s="12">
        <f t="shared" si="151"/>
        <v>0.99226688008509834</v>
      </c>
      <c r="AA472" t="str">
        <f t="shared" si="142"/>
        <v>C</v>
      </c>
      <c r="AB472" t="str">
        <f t="shared" si="143"/>
        <v>Y</v>
      </c>
      <c r="AC472" t="str">
        <f t="shared" si="144"/>
        <v>CY</v>
      </c>
      <c r="AD472" t="str">
        <f t="shared" si="145"/>
        <v>Low-Priority Monitoring</v>
      </c>
      <c r="AE472" t="str">
        <f t="shared" si="146"/>
        <v>Monthly Review</v>
      </c>
      <c r="AF472" t="str">
        <f t="shared" si="147"/>
        <v>Low Priority Monitoring</v>
      </c>
      <c r="AG472" t="str">
        <f t="shared" si="148"/>
        <v>Low</v>
      </c>
      <c r="AH472">
        <f t="shared" si="149"/>
        <v>40</v>
      </c>
      <c r="AI472" t="str">
        <f t="shared" si="150"/>
        <v>Low</v>
      </c>
    </row>
    <row r="473" spans="1:35">
      <c r="A473" t="s">
        <v>31</v>
      </c>
      <c r="B473" t="s">
        <v>21</v>
      </c>
      <c r="C473" t="s">
        <v>22</v>
      </c>
      <c r="D473" t="s">
        <v>16</v>
      </c>
      <c r="E473">
        <v>239</v>
      </c>
      <c r="F473">
        <v>58</v>
      </c>
      <c r="G473">
        <v>61</v>
      </c>
      <c r="H473">
        <v>18</v>
      </c>
      <c r="I473">
        <v>248.19</v>
      </c>
      <c r="J473">
        <v>0.14000000000000001</v>
      </c>
      <c r="K473">
        <v>461</v>
      </c>
      <c r="L473">
        <v>0.84</v>
      </c>
      <c r="M473">
        <v>1</v>
      </c>
      <c r="N473" s="1">
        <f t="shared" si="133"/>
        <v>1.9333333333333333</v>
      </c>
      <c r="O473" s="1">
        <f>N473*(1+Control_Panel!$B$2)</f>
        <v>1.9333333333333333</v>
      </c>
      <c r="P473" s="12">
        <f t="shared" si="134"/>
        <v>1.0517241379310345</v>
      </c>
      <c r="Q473" t="str" cm="1">
        <f t="array" ref="Q473">_xlfn.IFS(P473&lt;0.2,"Stable",P473&lt;=0.5,"Moderate",P473&gt;0.5,"Highly veriable")</f>
        <v>Highly veriable</v>
      </c>
      <c r="R473" s="1">
        <f t="shared" si="135"/>
        <v>258.80108191427638</v>
      </c>
      <c r="S473" s="1">
        <f t="shared" si="136"/>
        <v>278.73441524760972</v>
      </c>
      <c r="T473" s="1">
        <f t="shared" si="137"/>
        <v>-39.734415247609718</v>
      </c>
      <c r="U473" t="str">
        <f t="shared" si="138"/>
        <v xml:space="preserve"> Need to Order</v>
      </c>
      <c r="V473">
        <f t="shared" si="139"/>
        <v>696</v>
      </c>
      <c r="W473" s="9">
        <f t="shared" si="140"/>
        <v>172740.24</v>
      </c>
      <c r="Y473">
        <f t="shared" si="141"/>
        <v>3.8728396256775281E-4</v>
      </c>
      <c r="Z473" s="12">
        <f t="shared" si="151"/>
        <v>0.99265416404766604</v>
      </c>
      <c r="AA473" t="str">
        <f t="shared" si="142"/>
        <v>C</v>
      </c>
      <c r="AB473" t="str">
        <f t="shared" si="143"/>
        <v>Z</v>
      </c>
      <c r="AC473" t="str">
        <f t="shared" si="144"/>
        <v>CZ</v>
      </c>
      <c r="AD473" t="str">
        <f t="shared" si="145"/>
        <v>Minimal Control</v>
      </c>
      <c r="AE473" t="str">
        <f t="shared" si="146"/>
        <v>Quarterly</v>
      </c>
      <c r="AF473" t="str">
        <f t="shared" si="147"/>
        <v>Reduce Inventory Exposure</v>
      </c>
      <c r="AG473" t="str">
        <f t="shared" si="148"/>
        <v>Low</v>
      </c>
      <c r="AH473">
        <f t="shared" si="149"/>
        <v>30</v>
      </c>
      <c r="AI473" t="str">
        <f t="shared" si="150"/>
        <v>Low</v>
      </c>
    </row>
    <row r="474" spans="1:35">
      <c r="A474" t="s">
        <v>45</v>
      </c>
      <c r="B474" t="s">
        <v>21</v>
      </c>
      <c r="C474" t="s">
        <v>22</v>
      </c>
      <c r="D474" t="s">
        <v>25</v>
      </c>
      <c r="E474">
        <v>662</v>
      </c>
      <c r="F474">
        <v>82</v>
      </c>
      <c r="G474">
        <v>46</v>
      </c>
      <c r="H474">
        <v>21</v>
      </c>
      <c r="I474">
        <v>174.02</v>
      </c>
      <c r="J474">
        <v>0.08</v>
      </c>
      <c r="K474">
        <v>926</v>
      </c>
      <c r="L474">
        <v>0.72</v>
      </c>
      <c r="M474">
        <v>8</v>
      </c>
      <c r="N474" s="1">
        <f t="shared" si="133"/>
        <v>2.7333333333333334</v>
      </c>
      <c r="O474" s="1">
        <f>N474*(1+Control_Panel!$B$2)</f>
        <v>2.7333333333333334</v>
      </c>
      <c r="P474" s="12">
        <f t="shared" si="134"/>
        <v>0.56097560975609762</v>
      </c>
      <c r="Q474" t="str" cm="1">
        <f t="array" ref="Q474">_xlfn.IFS(P474&lt;0.2,"Stable",P474&lt;=0.5,"Moderate",P474&gt;0.5,"Highly veriable")</f>
        <v>Highly veriable</v>
      </c>
      <c r="R474" s="1">
        <f t="shared" si="135"/>
        <v>210.79848196796863</v>
      </c>
      <c r="S474" s="1">
        <f t="shared" si="136"/>
        <v>234.53181530130195</v>
      </c>
      <c r="T474" s="1">
        <f t="shared" si="137"/>
        <v>427.46818469869805</v>
      </c>
      <c r="U474" t="str">
        <f t="shared" si="138"/>
        <v xml:space="preserve"> Safe</v>
      </c>
      <c r="V474">
        <f t="shared" si="139"/>
        <v>984</v>
      </c>
      <c r="W474" s="9">
        <f t="shared" si="140"/>
        <v>171235.68000000002</v>
      </c>
      <c r="Y474">
        <f t="shared" si="141"/>
        <v>3.839107360472795E-4</v>
      </c>
      <c r="Z474" s="12">
        <f t="shared" si="151"/>
        <v>0.99303807478371331</v>
      </c>
      <c r="AA474" t="str">
        <f t="shared" si="142"/>
        <v>C</v>
      </c>
      <c r="AB474" t="str">
        <f t="shared" si="143"/>
        <v>Z</v>
      </c>
      <c r="AC474" t="str">
        <f t="shared" si="144"/>
        <v>CZ</v>
      </c>
      <c r="AD474" t="str">
        <f t="shared" si="145"/>
        <v>Minimal Control</v>
      </c>
      <c r="AE474" t="str">
        <f t="shared" si="146"/>
        <v>Quarterly</v>
      </c>
      <c r="AF474" t="str">
        <f t="shared" si="147"/>
        <v>Reduce Inventory Exposure</v>
      </c>
      <c r="AG474" t="str">
        <f t="shared" si="148"/>
        <v>Low</v>
      </c>
      <c r="AH474">
        <f t="shared" si="149"/>
        <v>50</v>
      </c>
      <c r="AI474" t="str">
        <f t="shared" si="150"/>
        <v>Medium</v>
      </c>
    </row>
    <row r="475" spans="1:35">
      <c r="A475" t="s">
        <v>399</v>
      </c>
      <c r="B475" t="s">
        <v>36</v>
      </c>
      <c r="C475" t="s">
        <v>15</v>
      </c>
      <c r="D475" t="s">
        <v>41</v>
      </c>
      <c r="E475">
        <v>570</v>
      </c>
      <c r="F475">
        <v>267</v>
      </c>
      <c r="G475">
        <v>44</v>
      </c>
      <c r="H475">
        <v>24</v>
      </c>
      <c r="I475">
        <v>52.35</v>
      </c>
      <c r="J475">
        <v>0.17</v>
      </c>
      <c r="K475">
        <v>222</v>
      </c>
      <c r="L475">
        <v>0.7</v>
      </c>
      <c r="M475">
        <v>2</v>
      </c>
      <c r="N475" s="1">
        <f t="shared" si="133"/>
        <v>8.9</v>
      </c>
      <c r="O475" s="1">
        <f>N475*(1+Control_Panel!$B$2)</f>
        <v>8.9</v>
      </c>
      <c r="P475" s="12">
        <f t="shared" si="134"/>
        <v>0.16479400749063669</v>
      </c>
      <c r="Q475" t="str" cm="1">
        <f t="array" ref="Q475">_xlfn.IFS(P475&lt;0.2,"Stable",P475&lt;=0.5,"Moderate",P475&gt;0.5,"Highly veriable")</f>
        <v>Stable</v>
      </c>
      <c r="R475" s="1">
        <f t="shared" si="135"/>
        <v>215.55509736491965</v>
      </c>
      <c r="S475" s="1">
        <f t="shared" si="136"/>
        <v>248.45509736491965</v>
      </c>
      <c r="T475" s="1">
        <f t="shared" si="137"/>
        <v>321.54490263508035</v>
      </c>
      <c r="U475" t="str">
        <f t="shared" si="138"/>
        <v xml:space="preserve"> Safe</v>
      </c>
      <c r="V475">
        <f t="shared" si="139"/>
        <v>3204</v>
      </c>
      <c r="W475" s="9">
        <f t="shared" si="140"/>
        <v>167729.4</v>
      </c>
      <c r="Y475">
        <f t="shared" si="141"/>
        <v>3.7604964929486976E-4</v>
      </c>
      <c r="Z475" s="12">
        <f t="shared" si="151"/>
        <v>0.99341412443300814</v>
      </c>
      <c r="AA475" t="str">
        <f t="shared" si="142"/>
        <v>C</v>
      </c>
      <c r="AB475" t="str">
        <f t="shared" si="143"/>
        <v>X</v>
      </c>
      <c r="AC475" t="str">
        <f t="shared" si="144"/>
        <v>CX</v>
      </c>
      <c r="AD475" t="str">
        <f t="shared" si="145"/>
        <v>Simplified Bulk Control</v>
      </c>
      <c r="AE475" t="str">
        <f t="shared" si="146"/>
        <v>Monthly</v>
      </c>
      <c r="AF475" t="str">
        <f t="shared" si="147"/>
        <v>Bulk Ordering</v>
      </c>
      <c r="AG475" t="str">
        <f t="shared" si="148"/>
        <v>Low</v>
      </c>
      <c r="AH475">
        <f t="shared" si="149"/>
        <v>30</v>
      </c>
      <c r="AI475" t="str">
        <f t="shared" si="150"/>
        <v>Low</v>
      </c>
    </row>
    <row r="476" spans="1:35">
      <c r="A476" t="s">
        <v>185</v>
      </c>
      <c r="B476" t="s">
        <v>36</v>
      </c>
      <c r="C476" t="s">
        <v>22</v>
      </c>
      <c r="D476" t="s">
        <v>23</v>
      </c>
      <c r="E476">
        <v>563</v>
      </c>
      <c r="F476">
        <v>216</v>
      </c>
      <c r="G476">
        <v>25</v>
      </c>
      <c r="H476">
        <v>5</v>
      </c>
      <c r="I476">
        <v>64.39</v>
      </c>
      <c r="J476">
        <v>0.24</v>
      </c>
      <c r="K476">
        <v>167</v>
      </c>
      <c r="L476">
        <v>0.78</v>
      </c>
      <c r="M476">
        <v>1</v>
      </c>
      <c r="N476" s="1">
        <f t="shared" si="133"/>
        <v>7.2</v>
      </c>
      <c r="O476" s="1">
        <f>N476*(1+Control_Panel!$B$2)</f>
        <v>7.2</v>
      </c>
      <c r="P476" s="12">
        <f t="shared" si="134"/>
        <v>0.11574074074074074</v>
      </c>
      <c r="Q476" t="str" cm="1">
        <f t="array" ref="Q476">_xlfn.IFS(P476&lt;0.2,"Stable",P476&lt;=0.5,"Moderate",P476&gt;0.5,"Highly veriable")</f>
        <v>Stable</v>
      </c>
      <c r="R476" s="1">
        <f t="shared" si="135"/>
        <v>55.901699437494742</v>
      </c>
      <c r="S476" s="1">
        <f t="shared" si="136"/>
        <v>68.101699437494744</v>
      </c>
      <c r="T476" s="1">
        <f t="shared" si="137"/>
        <v>494.89830056250526</v>
      </c>
      <c r="U476" t="str">
        <f t="shared" si="138"/>
        <v xml:space="preserve"> Safe</v>
      </c>
      <c r="V476">
        <f t="shared" si="139"/>
        <v>2592</v>
      </c>
      <c r="W476" s="9">
        <f t="shared" si="140"/>
        <v>166898.88</v>
      </c>
      <c r="Y476">
        <f t="shared" si="141"/>
        <v>3.7418762179860273E-4</v>
      </c>
      <c r="Z476" s="12">
        <f t="shared" si="151"/>
        <v>0.99378831205480678</v>
      </c>
      <c r="AA476" t="str">
        <f t="shared" si="142"/>
        <v>C</v>
      </c>
      <c r="AB476" t="str">
        <f t="shared" si="143"/>
        <v>X</v>
      </c>
      <c r="AC476" t="str">
        <f t="shared" si="144"/>
        <v>CX</v>
      </c>
      <c r="AD476" t="str">
        <f t="shared" si="145"/>
        <v>Simplified Bulk Control</v>
      </c>
      <c r="AE476" t="str">
        <f t="shared" si="146"/>
        <v>Monthly</v>
      </c>
      <c r="AF476" t="str">
        <f t="shared" si="147"/>
        <v>Bulk Ordering</v>
      </c>
      <c r="AG476" t="str">
        <f t="shared" si="148"/>
        <v>Low</v>
      </c>
      <c r="AH476">
        <f t="shared" si="149"/>
        <v>30</v>
      </c>
      <c r="AI476" t="str">
        <f t="shared" si="150"/>
        <v>Low</v>
      </c>
    </row>
    <row r="477" spans="1:35">
      <c r="A477" t="s">
        <v>98</v>
      </c>
      <c r="B477" t="s">
        <v>34</v>
      </c>
      <c r="C477" t="s">
        <v>15</v>
      </c>
      <c r="D477" t="s">
        <v>23</v>
      </c>
      <c r="E477">
        <v>903</v>
      </c>
      <c r="F477">
        <v>256</v>
      </c>
      <c r="G477">
        <v>31</v>
      </c>
      <c r="H477">
        <v>24</v>
      </c>
      <c r="I477">
        <v>50.74</v>
      </c>
      <c r="J477">
        <v>0.14000000000000001</v>
      </c>
      <c r="K477">
        <v>565</v>
      </c>
      <c r="L477">
        <v>0.7</v>
      </c>
      <c r="M477">
        <v>9</v>
      </c>
      <c r="N477" s="1">
        <f t="shared" si="133"/>
        <v>8.5333333333333332</v>
      </c>
      <c r="O477" s="1">
        <f>N477*(1+Control_Panel!$B$2)</f>
        <v>8.5333333333333332</v>
      </c>
      <c r="P477" s="12">
        <f t="shared" si="134"/>
        <v>0.12109375</v>
      </c>
      <c r="Q477" t="str" cm="1">
        <f t="array" ref="Q477">_xlfn.IFS(P477&lt;0.2,"Stable",P477&lt;=0.5,"Moderate",P477&gt;0.5,"Highly veriable")</f>
        <v>Stable</v>
      </c>
      <c r="R477" s="1">
        <f t="shared" si="135"/>
        <v>151.86836405255704</v>
      </c>
      <c r="S477" s="1">
        <f t="shared" si="136"/>
        <v>184.40169738589037</v>
      </c>
      <c r="T477" s="1">
        <f t="shared" si="137"/>
        <v>718.59830261410957</v>
      </c>
      <c r="U477" t="str">
        <f t="shared" si="138"/>
        <v xml:space="preserve"> Safe</v>
      </c>
      <c r="V477">
        <f t="shared" si="139"/>
        <v>3072</v>
      </c>
      <c r="W477" s="9">
        <f t="shared" si="140"/>
        <v>155873.28</v>
      </c>
      <c r="Y477">
        <f t="shared" si="141"/>
        <v>3.4946820461076618E-4</v>
      </c>
      <c r="Z477" s="12">
        <f t="shared" si="151"/>
        <v>0.99413778025941757</v>
      </c>
      <c r="AA477" t="str">
        <f t="shared" si="142"/>
        <v>C</v>
      </c>
      <c r="AB477" t="str">
        <f t="shared" si="143"/>
        <v>X</v>
      </c>
      <c r="AC477" t="str">
        <f t="shared" si="144"/>
        <v>CX</v>
      </c>
      <c r="AD477" t="str">
        <f t="shared" si="145"/>
        <v>Simplified Bulk Control</v>
      </c>
      <c r="AE477" t="str">
        <f t="shared" si="146"/>
        <v>Monthly</v>
      </c>
      <c r="AF477" t="str">
        <f t="shared" si="147"/>
        <v>Bulk Ordering</v>
      </c>
      <c r="AG477" t="str">
        <f t="shared" si="148"/>
        <v>Low</v>
      </c>
      <c r="AH477">
        <f t="shared" si="149"/>
        <v>50</v>
      </c>
      <c r="AI477" t="str">
        <f t="shared" si="150"/>
        <v>Medium</v>
      </c>
    </row>
    <row r="478" spans="1:35">
      <c r="A478" t="s">
        <v>519</v>
      </c>
      <c r="B478" t="s">
        <v>36</v>
      </c>
      <c r="C478" t="s">
        <v>22</v>
      </c>
      <c r="D478" t="s">
        <v>16</v>
      </c>
      <c r="E478">
        <v>703</v>
      </c>
      <c r="F478">
        <v>58</v>
      </c>
      <c r="G478">
        <v>52</v>
      </c>
      <c r="H478">
        <v>3</v>
      </c>
      <c r="I478">
        <v>218.46</v>
      </c>
      <c r="J478">
        <v>0.19</v>
      </c>
      <c r="K478">
        <v>903</v>
      </c>
      <c r="L478">
        <v>0.7</v>
      </c>
      <c r="M478">
        <v>7</v>
      </c>
      <c r="N478" s="1">
        <f t="shared" si="133"/>
        <v>1.9333333333333333</v>
      </c>
      <c r="O478" s="1">
        <f>N478*(1+Control_Panel!$B$2)</f>
        <v>1.9333333333333333</v>
      </c>
      <c r="P478" s="12">
        <f t="shared" si="134"/>
        <v>0.89655172413793105</v>
      </c>
      <c r="Q478" t="str" cm="1">
        <f t="array" ref="Q478">_xlfn.IFS(P478&lt;0.2,"Stable",P478&lt;=0.5,"Moderate",P478&gt;0.5,"Highly veriable")</f>
        <v>Highly veriable</v>
      </c>
      <c r="R478" s="1">
        <f t="shared" si="135"/>
        <v>90.066641993581612</v>
      </c>
      <c r="S478" s="1">
        <f t="shared" si="136"/>
        <v>94.999975326914949</v>
      </c>
      <c r="T478" s="1">
        <f t="shared" si="137"/>
        <v>608.00002467308502</v>
      </c>
      <c r="U478" t="str">
        <f t="shared" si="138"/>
        <v xml:space="preserve"> Safe</v>
      </c>
      <c r="V478">
        <f t="shared" si="139"/>
        <v>696</v>
      </c>
      <c r="W478" s="9">
        <f t="shared" si="140"/>
        <v>152048.16</v>
      </c>
      <c r="Y478">
        <f t="shared" si="141"/>
        <v>3.4089227794250888E-4</v>
      </c>
      <c r="Z478" s="12">
        <f t="shared" si="151"/>
        <v>0.99447867253736011</v>
      </c>
      <c r="AA478" t="str">
        <f t="shared" si="142"/>
        <v>C</v>
      </c>
      <c r="AB478" t="str">
        <f t="shared" si="143"/>
        <v>Z</v>
      </c>
      <c r="AC478" t="str">
        <f t="shared" si="144"/>
        <v>CZ</v>
      </c>
      <c r="AD478" t="str">
        <f t="shared" si="145"/>
        <v>Minimal Control</v>
      </c>
      <c r="AE478" t="str">
        <f t="shared" si="146"/>
        <v>Quarterly</v>
      </c>
      <c r="AF478" t="str">
        <f t="shared" si="147"/>
        <v>Reduce Inventory Exposure</v>
      </c>
      <c r="AG478" t="str">
        <f t="shared" si="148"/>
        <v>Low</v>
      </c>
      <c r="AH478">
        <f t="shared" si="149"/>
        <v>40</v>
      </c>
      <c r="AI478" t="str">
        <f t="shared" si="150"/>
        <v>Low</v>
      </c>
    </row>
    <row r="479" spans="1:35">
      <c r="A479" t="s">
        <v>243</v>
      </c>
      <c r="B479" t="s">
        <v>34</v>
      </c>
      <c r="C479" t="s">
        <v>15</v>
      </c>
      <c r="D479" t="s">
        <v>16</v>
      </c>
      <c r="E479">
        <v>761</v>
      </c>
      <c r="F479">
        <v>55</v>
      </c>
      <c r="G479">
        <v>48</v>
      </c>
      <c r="H479">
        <v>20</v>
      </c>
      <c r="I479">
        <v>227.53</v>
      </c>
      <c r="J479">
        <v>7.0000000000000007E-2</v>
      </c>
      <c r="K479">
        <v>249</v>
      </c>
      <c r="L479">
        <v>0.88</v>
      </c>
      <c r="M479">
        <v>2</v>
      </c>
      <c r="N479" s="1">
        <f t="shared" si="133"/>
        <v>1.8333333333333333</v>
      </c>
      <c r="O479" s="1">
        <f>N479*(1+Control_Panel!$B$2)</f>
        <v>1.8333333333333333</v>
      </c>
      <c r="P479" s="12">
        <f t="shared" si="134"/>
        <v>0.87272727272727268</v>
      </c>
      <c r="Q479" t="str" cm="1">
        <f t="array" ref="Q479">_xlfn.IFS(P479&lt;0.2,"Stable",P479&lt;=0.5,"Moderate",P479&gt;0.5,"Highly veriable")</f>
        <v>Highly veriable</v>
      </c>
      <c r="R479" s="1">
        <f t="shared" si="135"/>
        <v>214.66252583997982</v>
      </c>
      <c r="S479" s="1">
        <f t="shared" si="136"/>
        <v>236.49585917331316</v>
      </c>
      <c r="T479" s="1">
        <f t="shared" si="137"/>
        <v>524.50414082668681</v>
      </c>
      <c r="U479" t="str">
        <f t="shared" si="138"/>
        <v xml:space="preserve"> Safe</v>
      </c>
      <c r="V479">
        <f t="shared" si="139"/>
        <v>660</v>
      </c>
      <c r="W479" s="9">
        <f t="shared" si="140"/>
        <v>150169.79999999999</v>
      </c>
      <c r="Y479">
        <f t="shared" si="141"/>
        <v>3.3668099107658366E-4</v>
      </c>
      <c r="Z479" s="12">
        <f t="shared" si="151"/>
        <v>0.99481535352843664</v>
      </c>
      <c r="AA479" t="str">
        <f t="shared" si="142"/>
        <v>C</v>
      </c>
      <c r="AB479" t="str">
        <f t="shared" si="143"/>
        <v>Z</v>
      </c>
      <c r="AC479" t="str">
        <f t="shared" si="144"/>
        <v>CZ</v>
      </c>
      <c r="AD479" t="str">
        <f t="shared" si="145"/>
        <v>Minimal Control</v>
      </c>
      <c r="AE479" t="str">
        <f t="shared" si="146"/>
        <v>Quarterly</v>
      </c>
      <c r="AF479" t="str">
        <f t="shared" si="147"/>
        <v>Reduce Inventory Exposure</v>
      </c>
      <c r="AG479" t="str">
        <f t="shared" si="148"/>
        <v>Low</v>
      </c>
      <c r="AH479">
        <f t="shared" si="149"/>
        <v>30</v>
      </c>
      <c r="AI479" t="str">
        <f t="shared" si="150"/>
        <v>Low</v>
      </c>
    </row>
    <row r="480" spans="1:35">
      <c r="A480" t="s">
        <v>105</v>
      </c>
      <c r="B480" t="s">
        <v>38</v>
      </c>
      <c r="C480" t="s">
        <v>22</v>
      </c>
      <c r="D480" t="s">
        <v>19</v>
      </c>
      <c r="E480">
        <v>22</v>
      </c>
      <c r="F480">
        <v>112</v>
      </c>
      <c r="G480">
        <v>54</v>
      </c>
      <c r="H480">
        <v>6</v>
      </c>
      <c r="I480">
        <v>106.2</v>
      </c>
      <c r="J480">
        <v>0.16</v>
      </c>
      <c r="K480">
        <v>144</v>
      </c>
      <c r="L480">
        <v>0.77</v>
      </c>
      <c r="M480">
        <v>2</v>
      </c>
      <c r="N480" s="1">
        <f t="shared" si="133"/>
        <v>3.7333333333333334</v>
      </c>
      <c r="O480" s="1">
        <f>N480*(1+Control_Panel!$B$2)</f>
        <v>3.7333333333333334</v>
      </c>
      <c r="P480" s="12">
        <f t="shared" si="134"/>
        <v>0.48214285714285715</v>
      </c>
      <c r="Q480" t="str" cm="1">
        <f t="array" ref="Q480">_xlfn.IFS(P480&lt;0.2,"Stable",P480&lt;=0.5,"Moderate",P480&gt;0.5,"Highly veriable")</f>
        <v>Moderate</v>
      </c>
      <c r="R480" s="1">
        <f t="shared" si="135"/>
        <v>132.27244611029161</v>
      </c>
      <c r="S480" s="1">
        <f t="shared" si="136"/>
        <v>142.00577944362493</v>
      </c>
      <c r="T480" s="1">
        <f t="shared" si="137"/>
        <v>-120.00577944362493</v>
      </c>
      <c r="U480" t="str">
        <f t="shared" si="138"/>
        <v xml:space="preserve"> Need to Order</v>
      </c>
      <c r="V480">
        <f t="shared" si="139"/>
        <v>1344</v>
      </c>
      <c r="W480" s="9">
        <f t="shared" si="140"/>
        <v>142732.80000000002</v>
      </c>
      <c r="Y480">
        <f t="shared" si="141"/>
        <v>3.2000722224532368E-4</v>
      </c>
      <c r="Z480" s="12">
        <f t="shared" si="151"/>
        <v>0.99513536075068199</v>
      </c>
      <c r="AA480" t="str">
        <f t="shared" si="142"/>
        <v>C</v>
      </c>
      <c r="AB480" t="str">
        <f t="shared" si="143"/>
        <v>Y</v>
      </c>
      <c r="AC480" t="str">
        <f t="shared" si="144"/>
        <v>CY</v>
      </c>
      <c r="AD480" t="str">
        <f t="shared" si="145"/>
        <v>Low-Priority Monitoring</v>
      </c>
      <c r="AE480" t="str">
        <f t="shared" si="146"/>
        <v>Monthly Review</v>
      </c>
      <c r="AF480" t="str">
        <f t="shared" si="147"/>
        <v>Low Priority Monitoring</v>
      </c>
      <c r="AG480" t="str">
        <f t="shared" si="148"/>
        <v>Low</v>
      </c>
      <c r="AH480">
        <f t="shared" si="149"/>
        <v>30</v>
      </c>
      <c r="AI480" t="str">
        <f t="shared" si="150"/>
        <v>Low</v>
      </c>
    </row>
    <row r="481" spans="1:35">
      <c r="A481" t="s">
        <v>360</v>
      </c>
      <c r="B481" t="s">
        <v>18</v>
      </c>
      <c r="C481" t="s">
        <v>22</v>
      </c>
      <c r="D481" t="s">
        <v>23</v>
      </c>
      <c r="E481">
        <v>474</v>
      </c>
      <c r="F481">
        <v>183</v>
      </c>
      <c r="G481">
        <v>35</v>
      </c>
      <c r="H481">
        <v>8</v>
      </c>
      <c r="I481">
        <v>63.07</v>
      </c>
      <c r="J481">
        <v>0.23</v>
      </c>
      <c r="K481">
        <v>683</v>
      </c>
      <c r="L481">
        <v>0.88</v>
      </c>
      <c r="M481">
        <v>8</v>
      </c>
      <c r="N481" s="1">
        <f t="shared" si="133"/>
        <v>6.1</v>
      </c>
      <c r="O481" s="1">
        <f>N481*(1+Control_Panel!$B$2)</f>
        <v>6.1</v>
      </c>
      <c r="P481" s="12">
        <f t="shared" si="134"/>
        <v>0.19125683060109289</v>
      </c>
      <c r="Q481" t="str" cm="1">
        <f t="array" ref="Q481">_xlfn.IFS(P481&lt;0.2,"Stable",P481&lt;=0.5,"Moderate",P481&gt;0.5,"Highly veriable")</f>
        <v>Stable</v>
      </c>
      <c r="R481" s="1">
        <f t="shared" si="135"/>
        <v>98.994949366116657</v>
      </c>
      <c r="S481" s="1">
        <f t="shared" si="136"/>
        <v>113.09494936611665</v>
      </c>
      <c r="T481" s="1">
        <f t="shared" si="137"/>
        <v>360.90505063388332</v>
      </c>
      <c r="U481" t="str">
        <f t="shared" si="138"/>
        <v xml:space="preserve"> Safe</v>
      </c>
      <c r="V481">
        <f t="shared" si="139"/>
        <v>2196</v>
      </c>
      <c r="W481" s="9">
        <f t="shared" si="140"/>
        <v>138501.72</v>
      </c>
      <c r="Y481">
        <f t="shared" si="141"/>
        <v>3.1052113244747943E-4</v>
      </c>
      <c r="Z481" s="12">
        <f t="shared" si="151"/>
        <v>0.99544588188312944</v>
      </c>
      <c r="AA481" t="str">
        <f t="shared" si="142"/>
        <v>C</v>
      </c>
      <c r="AB481" t="str">
        <f t="shared" si="143"/>
        <v>X</v>
      </c>
      <c r="AC481" t="str">
        <f t="shared" si="144"/>
        <v>CX</v>
      </c>
      <c r="AD481" t="str">
        <f t="shared" si="145"/>
        <v>Simplified Bulk Control</v>
      </c>
      <c r="AE481" t="str">
        <f t="shared" si="146"/>
        <v>Monthly</v>
      </c>
      <c r="AF481" t="str">
        <f t="shared" si="147"/>
        <v>Bulk Ordering</v>
      </c>
      <c r="AG481" t="str">
        <f t="shared" si="148"/>
        <v>Low</v>
      </c>
      <c r="AH481">
        <f t="shared" si="149"/>
        <v>50</v>
      </c>
      <c r="AI481" t="str">
        <f t="shared" si="150"/>
        <v>Medium</v>
      </c>
    </row>
    <row r="482" spans="1:35">
      <c r="A482" t="s">
        <v>398</v>
      </c>
      <c r="B482" t="s">
        <v>36</v>
      </c>
      <c r="C482" t="s">
        <v>15</v>
      </c>
      <c r="D482" t="s">
        <v>19</v>
      </c>
      <c r="E482">
        <v>169</v>
      </c>
      <c r="F482">
        <v>54</v>
      </c>
      <c r="G482">
        <v>23</v>
      </c>
      <c r="H482">
        <v>18</v>
      </c>
      <c r="I482">
        <v>209.01</v>
      </c>
      <c r="J482">
        <v>0.18</v>
      </c>
      <c r="K482">
        <v>306</v>
      </c>
      <c r="L482">
        <v>0.7</v>
      </c>
      <c r="M482">
        <v>2</v>
      </c>
      <c r="N482" s="1">
        <f t="shared" si="133"/>
        <v>1.8</v>
      </c>
      <c r="O482" s="1">
        <f>N482*(1+Control_Panel!$B$2)</f>
        <v>1.8</v>
      </c>
      <c r="P482" s="12">
        <f t="shared" si="134"/>
        <v>0.42592592592592593</v>
      </c>
      <c r="Q482" t="str" cm="1">
        <f t="array" ref="Q482">_xlfn.IFS(P482&lt;0.2,"Stable",P482&lt;=0.5,"Moderate",P482&gt;0.5,"Highly veriable")</f>
        <v>Moderate</v>
      </c>
      <c r="R482" s="1">
        <f t="shared" si="135"/>
        <v>97.580735803743551</v>
      </c>
      <c r="S482" s="1">
        <f t="shared" si="136"/>
        <v>117.38073580374355</v>
      </c>
      <c r="T482" s="1">
        <f t="shared" si="137"/>
        <v>51.619264196256452</v>
      </c>
      <c r="U482" t="str">
        <f t="shared" si="138"/>
        <v xml:space="preserve"> Risk</v>
      </c>
      <c r="V482">
        <f t="shared" si="139"/>
        <v>648</v>
      </c>
      <c r="W482" s="9">
        <f t="shared" si="140"/>
        <v>135438.47999999998</v>
      </c>
      <c r="Y482">
        <f t="shared" si="141"/>
        <v>3.0365334225860359E-4</v>
      </c>
      <c r="Z482" s="12">
        <f t="shared" si="151"/>
        <v>0.995749535225388</v>
      </c>
      <c r="AA482" t="str">
        <f t="shared" si="142"/>
        <v>C</v>
      </c>
      <c r="AB482" t="str">
        <f t="shared" si="143"/>
        <v>Y</v>
      </c>
      <c r="AC482" t="str">
        <f t="shared" si="144"/>
        <v>CY</v>
      </c>
      <c r="AD482" t="str">
        <f t="shared" si="145"/>
        <v>Low-Priority Monitoring</v>
      </c>
      <c r="AE482" t="str">
        <f t="shared" si="146"/>
        <v>Monthly Review</v>
      </c>
      <c r="AF482" t="str">
        <f t="shared" si="147"/>
        <v>Low Priority Monitoring</v>
      </c>
      <c r="AG482" t="str">
        <f t="shared" si="148"/>
        <v>Low</v>
      </c>
      <c r="AH482">
        <f t="shared" si="149"/>
        <v>30</v>
      </c>
      <c r="AI482" t="str">
        <f t="shared" si="150"/>
        <v>Low</v>
      </c>
    </row>
    <row r="483" spans="1:35">
      <c r="A483" t="s">
        <v>301</v>
      </c>
      <c r="B483" t="s">
        <v>18</v>
      </c>
      <c r="C483" t="s">
        <v>15</v>
      </c>
      <c r="D483" t="s">
        <v>41</v>
      </c>
      <c r="E483">
        <v>980</v>
      </c>
      <c r="F483">
        <v>85</v>
      </c>
      <c r="G483">
        <v>92</v>
      </c>
      <c r="H483">
        <v>19</v>
      </c>
      <c r="I483">
        <v>132.71</v>
      </c>
      <c r="J483">
        <v>0.11</v>
      </c>
      <c r="K483">
        <v>899</v>
      </c>
      <c r="L483">
        <v>0.77</v>
      </c>
      <c r="M483">
        <v>2</v>
      </c>
      <c r="N483" s="1">
        <f t="shared" si="133"/>
        <v>2.8333333333333335</v>
      </c>
      <c r="O483" s="1">
        <f>N483*(1+Control_Panel!$B$2)</f>
        <v>2.8333333333333335</v>
      </c>
      <c r="P483" s="12">
        <f t="shared" si="134"/>
        <v>1.0823529411764705</v>
      </c>
      <c r="Q483" t="str" cm="1">
        <f t="array" ref="Q483">_xlfn.IFS(P483&lt;0.2,"Stable",P483&lt;=0.5,"Moderate",P483&gt;0.5,"Highly veriable")</f>
        <v>Highly veriable</v>
      </c>
      <c r="R483" s="1">
        <f t="shared" si="135"/>
        <v>401.01870280574201</v>
      </c>
      <c r="S483" s="1">
        <f t="shared" si="136"/>
        <v>422.85203613907532</v>
      </c>
      <c r="T483" s="1">
        <f t="shared" si="137"/>
        <v>557.14796386092462</v>
      </c>
      <c r="U483" t="str">
        <f t="shared" si="138"/>
        <v xml:space="preserve"> Safe</v>
      </c>
      <c r="V483">
        <f t="shared" si="139"/>
        <v>1020</v>
      </c>
      <c r="W483" s="9">
        <f t="shared" si="140"/>
        <v>135364.20000000001</v>
      </c>
      <c r="Y483">
        <f t="shared" si="141"/>
        <v>3.0348680635047055E-4</v>
      </c>
      <c r="Z483" s="12">
        <f t="shared" si="151"/>
        <v>0.99605302203173851</v>
      </c>
      <c r="AA483" t="str">
        <f t="shared" si="142"/>
        <v>C</v>
      </c>
      <c r="AB483" t="str">
        <f t="shared" si="143"/>
        <v>Z</v>
      </c>
      <c r="AC483" t="str">
        <f t="shared" si="144"/>
        <v>CZ</v>
      </c>
      <c r="AD483" t="str">
        <f t="shared" si="145"/>
        <v>Minimal Control</v>
      </c>
      <c r="AE483" t="str">
        <f t="shared" si="146"/>
        <v>Quarterly</v>
      </c>
      <c r="AF483" t="str">
        <f t="shared" si="147"/>
        <v>Reduce Inventory Exposure</v>
      </c>
      <c r="AG483" t="str">
        <f t="shared" si="148"/>
        <v>Low</v>
      </c>
      <c r="AH483">
        <f t="shared" si="149"/>
        <v>30</v>
      </c>
      <c r="AI483" t="str">
        <f t="shared" si="150"/>
        <v>Low</v>
      </c>
    </row>
    <row r="484" spans="1:35">
      <c r="A484" t="s">
        <v>79</v>
      </c>
      <c r="B484" t="s">
        <v>21</v>
      </c>
      <c r="C484" t="s">
        <v>15</v>
      </c>
      <c r="D484" t="s">
        <v>19</v>
      </c>
      <c r="E484">
        <v>5</v>
      </c>
      <c r="F484">
        <v>197</v>
      </c>
      <c r="G484">
        <v>89</v>
      </c>
      <c r="H484">
        <v>7</v>
      </c>
      <c r="I484">
        <v>56.13</v>
      </c>
      <c r="J484">
        <v>0.06</v>
      </c>
      <c r="K484">
        <v>856</v>
      </c>
      <c r="L484">
        <v>0.75</v>
      </c>
      <c r="M484">
        <v>7</v>
      </c>
      <c r="N484" s="1">
        <f t="shared" si="133"/>
        <v>6.5666666666666664</v>
      </c>
      <c r="O484" s="1">
        <f>N484*(1+Control_Panel!$B$2)</f>
        <v>6.5666666666666664</v>
      </c>
      <c r="P484" s="12">
        <f t="shared" si="134"/>
        <v>0.45177664974619292</v>
      </c>
      <c r="Q484" t="str" cm="1">
        <f t="array" ref="Q484">_xlfn.IFS(P484&lt;0.2,"Stable",P484&lt;=0.5,"Moderate",P484&gt;0.5,"Highly veriable")</f>
        <v>Moderate</v>
      </c>
      <c r="R484" s="1">
        <f t="shared" si="135"/>
        <v>235.47186668474856</v>
      </c>
      <c r="S484" s="1">
        <f t="shared" si="136"/>
        <v>249.03853335141523</v>
      </c>
      <c r="T484" s="1">
        <f t="shared" si="137"/>
        <v>-244.03853335141523</v>
      </c>
      <c r="U484" t="str">
        <f t="shared" si="138"/>
        <v xml:space="preserve"> Need to Order</v>
      </c>
      <c r="V484">
        <f t="shared" si="139"/>
        <v>2364</v>
      </c>
      <c r="W484" s="9">
        <f t="shared" si="140"/>
        <v>132691.32</v>
      </c>
      <c r="Y484">
        <f t="shared" si="141"/>
        <v>2.9749420406007145E-4</v>
      </c>
      <c r="Z484" s="12">
        <f t="shared" si="151"/>
        <v>0.99635051623579862</v>
      </c>
      <c r="AA484" t="str">
        <f t="shared" si="142"/>
        <v>C</v>
      </c>
      <c r="AB484" t="str">
        <f t="shared" si="143"/>
        <v>Y</v>
      </c>
      <c r="AC484" t="str">
        <f t="shared" si="144"/>
        <v>CY</v>
      </c>
      <c r="AD484" t="str">
        <f t="shared" si="145"/>
        <v>Low-Priority Monitoring</v>
      </c>
      <c r="AE484" t="str">
        <f t="shared" si="146"/>
        <v>Monthly Review</v>
      </c>
      <c r="AF484" t="str">
        <f t="shared" si="147"/>
        <v>Low Priority Monitoring</v>
      </c>
      <c r="AG484" t="str">
        <f t="shared" si="148"/>
        <v>Low</v>
      </c>
      <c r="AH484">
        <f t="shared" si="149"/>
        <v>40</v>
      </c>
      <c r="AI484" t="str">
        <f t="shared" si="150"/>
        <v>Low</v>
      </c>
    </row>
    <row r="485" spans="1:35">
      <c r="A485" t="s">
        <v>258</v>
      </c>
      <c r="B485" t="s">
        <v>34</v>
      </c>
      <c r="C485" t="s">
        <v>15</v>
      </c>
      <c r="D485" t="s">
        <v>16</v>
      </c>
      <c r="E485">
        <v>11</v>
      </c>
      <c r="F485">
        <v>110</v>
      </c>
      <c r="G485">
        <v>88</v>
      </c>
      <c r="H485">
        <v>27</v>
      </c>
      <c r="I485">
        <v>99.58</v>
      </c>
      <c r="J485">
        <v>0.12</v>
      </c>
      <c r="K485">
        <v>531</v>
      </c>
      <c r="L485">
        <v>0.8</v>
      </c>
      <c r="M485">
        <v>3</v>
      </c>
      <c r="N485" s="1">
        <f t="shared" si="133"/>
        <v>3.6666666666666665</v>
      </c>
      <c r="O485" s="1">
        <f>N485*(1+Control_Panel!$B$2)</f>
        <v>3.6666666666666665</v>
      </c>
      <c r="P485" s="12">
        <f t="shared" si="134"/>
        <v>0.8</v>
      </c>
      <c r="Q485" t="str" cm="1">
        <f t="array" ref="Q485">_xlfn.IFS(P485&lt;0.2,"Stable",P485&lt;=0.5,"Moderate",P485&gt;0.5,"Highly veriable")</f>
        <v>Highly veriable</v>
      </c>
      <c r="R485" s="1">
        <f t="shared" si="135"/>
        <v>457.26141319818362</v>
      </c>
      <c r="S485" s="1">
        <f t="shared" si="136"/>
        <v>487.9280798648503</v>
      </c>
      <c r="T485" s="1">
        <f t="shared" si="137"/>
        <v>-476.9280798648503</v>
      </c>
      <c r="U485" t="str">
        <f t="shared" si="138"/>
        <v xml:space="preserve"> Need to Order</v>
      </c>
      <c r="V485">
        <f t="shared" si="139"/>
        <v>1320</v>
      </c>
      <c r="W485" s="9">
        <f t="shared" si="140"/>
        <v>131445.6</v>
      </c>
      <c r="Y485">
        <f t="shared" si="141"/>
        <v>2.9470129733579051E-4</v>
      </c>
      <c r="Z485" s="12">
        <f t="shared" si="151"/>
        <v>0.9966452175331344</v>
      </c>
      <c r="AA485" t="str">
        <f t="shared" si="142"/>
        <v>C</v>
      </c>
      <c r="AB485" t="str">
        <f t="shared" si="143"/>
        <v>Z</v>
      </c>
      <c r="AC485" t="str">
        <f t="shared" si="144"/>
        <v>CZ</v>
      </c>
      <c r="AD485" t="str">
        <f t="shared" si="145"/>
        <v>Minimal Control</v>
      </c>
      <c r="AE485" t="str">
        <f t="shared" si="146"/>
        <v>Quarterly</v>
      </c>
      <c r="AF485" t="str">
        <f t="shared" si="147"/>
        <v>Reduce Inventory Exposure</v>
      </c>
      <c r="AG485" t="str">
        <f t="shared" si="148"/>
        <v>Low</v>
      </c>
      <c r="AH485">
        <f t="shared" si="149"/>
        <v>30</v>
      </c>
      <c r="AI485" t="str">
        <f t="shared" si="150"/>
        <v>Low</v>
      </c>
    </row>
    <row r="486" spans="1:35">
      <c r="A486" t="s">
        <v>238</v>
      </c>
      <c r="B486" t="s">
        <v>21</v>
      </c>
      <c r="C486" t="s">
        <v>15</v>
      </c>
      <c r="D486" t="s">
        <v>41</v>
      </c>
      <c r="E486">
        <v>569</v>
      </c>
      <c r="F486">
        <v>128</v>
      </c>
      <c r="G486">
        <v>57</v>
      </c>
      <c r="H486">
        <v>13</v>
      </c>
      <c r="I486">
        <v>78.540000000000006</v>
      </c>
      <c r="J486">
        <v>0.08</v>
      </c>
      <c r="K486">
        <v>603</v>
      </c>
      <c r="L486">
        <v>0.9</v>
      </c>
      <c r="M486">
        <v>1</v>
      </c>
      <c r="N486" s="1">
        <f t="shared" si="133"/>
        <v>4.2666666666666666</v>
      </c>
      <c r="O486" s="1">
        <f>N486*(1+Control_Panel!$B$2)</f>
        <v>4.2666666666666666</v>
      </c>
      <c r="P486" s="12">
        <f t="shared" si="134"/>
        <v>0.4453125</v>
      </c>
      <c r="Q486" t="str" cm="1">
        <f t="array" ref="Q486">_xlfn.IFS(P486&lt;0.2,"Stable",P486&lt;=0.5,"Moderate",P486&gt;0.5,"Highly veriable")</f>
        <v>Moderate</v>
      </c>
      <c r="R486" s="1">
        <f t="shared" si="135"/>
        <v>205.51642270144737</v>
      </c>
      <c r="S486" s="1">
        <f t="shared" si="136"/>
        <v>222.78308936811402</v>
      </c>
      <c r="T486" s="1">
        <f t="shared" si="137"/>
        <v>346.21691063188598</v>
      </c>
      <c r="U486" t="str">
        <f t="shared" si="138"/>
        <v xml:space="preserve"> Safe</v>
      </c>
      <c r="V486">
        <f t="shared" si="139"/>
        <v>1536</v>
      </c>
      <c r="W486" s="9">
        <f t="shared" si="140"/>
        <v>120637.44</v>
      </c>
      <c r="Y486">
        <f t="shared" si="141"/>
        <v>2.7046938106158432E-4</v>
      </c>
      <c r="Z486" s="12">
        <f t="shared" si="151"/>
        <v>0.99691568691419596</v>
      </c>
      <c r="AA486" t="str">
        <f t="shared" si="142"/>
        <v>C</v>
      </c>
      <c r="AB486" t="str">
        <f t="shared" si="143"/>
        <v>Y</v>
      </c>
      <c r="AC486" t="str">
        <f t="shared" si="144"/>
        <v>CY</v>
      </c>
      <c r="AD486" t="str">
        <f t="shared" si="145"/>
        <v>Low-Priority Monitoring</v>
      </c>
      <c r="AE486" t="str">
        <f t="shared" si="146"/>
        <v>Monthly Review</v>
      </c>
      <c r="AF486" t="str">
        <f t="shared" si="147"/>
        <v>Low Priority Monitoring</v>
      </c>
      <c r="AG486" t="str">
        <f t="shared" si="148"/>
        <v>Low</v>
      </c>
      <c r="AH486">
        <f t="shared" si="149"/>
        <v>30</v>
      </c>
      <c r="AI486" t="str">
        <f t="shared" si="150"/>
        <v>Low</v>
      </c>
    </row>
    <row r="487" spans="1:35">
      <c r="A487" t="s">
        <v>264</v>
      </c>
      <c r="B487" t="s">
        <v>21</v>
      </c>
      <c r="C487" t="s">
        <v>15</v>
      </c>
      <c r="D487" t="s">
        <v>19</v>
      </c>
      <c r="E487">
        <v>608</v>
      </c>
      <c r="F487">
        <v>73</v>
      </c>
      <c r="G487">
        <v>54</v>
      </c>
      <c r="H487">
        <v>4</v>
      </c>
      <c r="I487">
        <v>136.16999999999999</v>
      </c>
      <c r="J487">
        <v>0.17</v>
      </c>
      <c r="K487">
        <v>904</v>
      </c>
      <c r="L487">
        <v>0.71</v>
      </c>
      <c r="M487">
        <v>10</v>
      </c>
      <c r="N487" s="1">
        <f t="shared" si="133"/>
        <v>2.4333333333333331</v>
      </c>
      <c r="O487" s="1">
        <f>N487*(1+Control_Panel!$B$2)</f>
        <v>2.4333333333333331</v>
      </c>
      <c r="P487" s="12">
        <f t="shared" si="134"/>
        <v>0.73972602739726023</v>
      </c>
      <c r="Q487" t="str" cm="1">
        <f t="array" ref="Q487">_xlfn.IFS(P487&lt;0.2,"Stable",P487&lt;=0.5,"Moderate",P487&gt;0.5,"Highly veriable")</f>
        <v>Highly veriable</v>
      </c>
      <c r="R487" s="1">
        <f t="shared" si="135"/>
        <v>108</v>
      </c>
      <c r="S487" s="1">
        <f t="shared" si="136"/>
        <v>114.43333333333334</v>
      </c>
      <c r="T487" s="1">
        <f t="shared" si="137"/>
        <v>493.56666666666666</v>
      </c>
      <c r="U487" t="str">
        <f t="shared" si="138"/>
        <v xml:space="preserve"> Safe</v>
      </c>
      <c r="V487">
        <f t="shared" si="139"/>
        <v>876</v>
      </c>
      <c r="W487" s="9">
        <f t="shared" si="140"/>
        <v>119284.91999999998</v>
      </c>
      <c r="Y487">
        <f t="shared" si="141"/>
        <v>2.6743702852431711E-4</v>
      </c>
      <c r="Z487" s="12">
        <f t="shared" si="151"/>
        <v>0.99718312394272024</v>
      </c>
      <c r="AA487" t="str">
        <f t="shared" si="142"/>
        <v>C</v>
      </c>
      <c r="AB487" t="str">
        <f t="shared" si="143"/>
        <v>Z</v>
      </c>
      <c r="AC487" t="str">
        <f t="shared" si="144"/>
        <v>CZ</v>
      </c>
      <c r="AD487" t="str">
        <f t="shared" si="145"/>
        <v>Minimal Control</v>
      </c>
      <c r="AE487" t="str">
        <f t="shared" si="146"/>
        <v>Quarterly</v>
      </c>
      <c r="AF487" t="str">
        <f t="shared" si="147"/>
        <v>Reduce Inventory Exposure</v>
      </c>
      <c r="AG487" t="str">
        <f t="shared" si="148"/>
        <v>Low</v>
      </c>
      <c r="AH487">
        <f t="shared" si="149"/>
        <v>50</v>
      </c>
      <c r="AI487" t="str">
        <f t="shared" si="150"/>
        <v>Medium</v>
      </c>
    </row>
    <row r="488" spans="1:35">
      <c r="A488" t="s">
        <v>306</v>
      </c>
      <c r="B488" t="s">
        <v>14</v>
      </c>
      <c r="C488" t="s">
        <v>22</v>
      </c>
      <c r="D488" t="s">
        <v>19</v>
      </c>
      <c r="E488">
        <v>173</v>
      </c>
      <c r="F488">
        <v>54</v>
      </c>
      <c r="G488">
        <v>12</v>
      </c>
      <c r="H488">
        <v>12</v>
      </c>
      <c r="I488">
        <v>173.9</v>
      </c>
      <c r="J488">
        <v>0.12</v>
      </c>
      <c r="K488">
        <v>815</v>
      </c>
      <c r="L488">
        <v>0.88</v>
      </c>
      <c r="M488">
        <v>3</v>
      </c>
      <c r="N488" s="1">
        <f t="shared" si="133"/>
        <v>1.8</v>
      </c>
      <c r="O488" s="1">
        <f>N488*(1+Control_Panel!$B$2)</f>
        <v>1.8</v>
      </c>
      <c r="P488" s="12">
        <f t="shared" si="134"/>
        <v>0.22222222222222221</v>
      </c>
      <c r="Q488" t="str" cm="1">
        <f t="array" ref="Q488">_xlfn.IFS(P488&lt;0.2,"Stable",P488&lt;=0.5,"Moderate",P488&gt;0.5,"Highly veriable")</f>
        <v>Moderate</v>
      </c>
      <c r="R488" s="1">
        <f t="shared" si="135"/>
        <v>41.569219381653056</v>
      </c>
      <c r="S488" s="1">
        <f t="shared" si="136"/>
        <v>55.369219381653053</v>
      </c>
      <c r="T488" s="1">
        <f t="shared" si="137"/>
        <v>117.63078061834695</v>
      </c>
      <c r="U488" t="str">
        <f t="shared" si="138"/>
        <v xml:space="preserve"> Safe</v>
      </c>
      <c r="V488">
        <f t="shared" si="139"/>
        <v>648</v>
      </c>
      <c r="W488" s="9">
        <f t="shared" si="140"/>
        <v>112687.2</v>
      </c>
      <c r="Y488">
        <f t="shared" si="141"/>
        <v>2.526449271267938E-4</v>
      </c>
      <c r="Z488" s="12">
        <f t="shared" si="151"/>
        <v>0.99743576886984708</v>
      </c>
      <c r="AA488" t="str">
        <f t="shared" si="142"/>
        <v>C</v>
      </c>
      <c r="AB488" t="str">
        <f t="shared" si="143"/>
        <v>Y</v>
      </c>
      <c r="AC488" t="str">
        <f t="shared" si="144"/>
        <v>CY</v>
      </c>
      <c r="AD488" t="str">
        <f t="shared" si="145"/>
        <v>Low-Priority Monitoring</v>
      </c>
      <c r="AE488" t="str">
        <f t="shared" si="146"/>
        <v>Monthly Review</v>
      </c>
      <c r="AF488" t="str">
        <f t="shared" si="147"/>
        <v>Low Priority Monitoring</v>
      </c>
      <c r="AG488" t="str">
        <f t="shared" si="148"/>
        <v>Low</v>
      </c>
      <c r="AH488">
        <f t="shared" si="149"/>
        <v>30</v>
      </c>
      <c r="AI488" t="str">
        <f t="shared" si="150"/>
        <v>Low</v>
      </c>
    </row>
    <row r="489" spans="1:35">
      <c r="A489" t="s">
        <v>157</v>
      </c>
      <c r="B489" t="s">
        <v>40</v>
      </c>
      <c r="C489" t="s">
        <v>22</v>
      </c>
      <c r="D489" t="s">
        <v>19</v>
      </c>
      <c r="E489">
        <v>20</v>
      </c>
      <c r="F489">
        <v>134</v>
      </c>
      <c r="G489">
        <v>60</v>
      </c>
      <c r="H489">
        <v>2</v>
      </c>
      <c r="I489">
        <v>68.569999999999993</v>
      </c>
      <c r="J489">
        <v>0.15</v>
      </c>
      <c r="K489">
        <v>700</v>
      </c>
      <c r="L489">
        <v>0.73</v>
      </c>
      <c r="M489">
        <v>1</v>
      </c>
      <c r="N489" s="1">
        <f t="shared" si="133"/>
        <v>4.4666666666666668</v>
      </c>
      <c r="O489" s="1">
        <f>N489*(1+Control_Panel!$B$2)</f>
        <v>4.4666666666666668</v>
      </c>
      <c r="P489" s="12">
        <f t="shared" si="134"/>
        <v>0.44776119402985076</v>
      </c>
      <c r="Q489" t="str" cm="1">
        <f t="array" ref="Q489">_xlfn.IFS(P489&lt;0.2,"Stable",P489&lt;=0.5,"Moderate",P489&gt;0.5,"Highly veriable")</f>
        <v>Moderate</v>
      </c>
      <c r="R489" s="1">
        <f t="shared" si="135"/>
        <v>84.852813742385706</v>
      </c>
      <c r="S489" s="1">
        <f t="shared" si="136"/>
        <v>91.319480409052375</v>
      </c>
      <c r="T489" s="1">
        <f t="shared" si="137"/>
        <v>-71.319480409052375</v>
      </c>
      <c r="U489" t="str">
        <f t="shared" si="138"/>
        <v xml:space="preserve"> Need to Order</v>
      </c>
      <c r="V489">
        <f t="shared" si="139"/>
        <v>1608</v>
      </c>
      <c r="W489" s="9">
        <f t="shared" si="140"/>
        <v>110260.55999999998</v>
      </c>
      <c r="Y489">
        <f t="shared" si="141"/>
        <v>2.4720439540745954E-4</v>
      </c>
      <c r="Z489" s="12">
        <f t="shared" si="151"/>
        <v>0.99768297326525457</v>
      </c>
      <c r="AA489" t="str">
        <f t="shared" si="142"/>
        <v>C</v>
      </c>
      <c r="AB489" t="str">
        <f t="shared" si="143"/>
        <v>Y</v>
      </c>
      <c r="AC489" t="str">
        <f t="shared" si="144"/>
        <v>CY</v>
      </c>
      <c r="AD489" t="str">
        <f t="shared" si="145"/>
        <v>Low-Priority Monitoring</v>
      </c>
      <c r="AE489" t="str">
        <f t="shared" si="146"/>
        <v>Monthly Review</v>
      </c>
      <c r="AF489" t="str">
        <f t="shared" si="147"/>
        <v>Low Priority Monitoring</v>
      </c>
      <c r="AG489" t="str">
        <f t="shared" si="148"/>
        <v>Low</v>
      </c>
      <c r="AH489">
        <f t="shared" si="149"/>
        <v>30</v>
      </c>
      <c r="AI489" t="str">
        <f t="shared" si="150"/>
        <v>Low</v>
      </c>
    </row>
    <row r="490" spans="1:35">
      <c r="A490" t="s">
        <v>271</v>
      </c>
      <c r="B490" t="s">
        <v>34</v>
      </c>
      <c r="C490" t="s">
        <v>15</v>
      </c>
      <c r="D490" t="s">
        <v>19</v>
      </c>
      <c r="E490">
        <v>986</v>
      </c>
      <c r="F490">
        <v>160</v>
      </c>
      <c r="G490">
        <v>32</v>
      </c>
      <c r="H490">
        <v>23</v>
      </c>
      <c r="I490">
        <v>55.3</v>
      </c>
      <c r="J490">
        <v>0.24</v>
      </c>
      <c r="K490">
        <v>193</v>
      </c>
      <c r="L490">
        <v>0.99</v>
      </c>
      <c r="M490">
        <v>3</v>
      </c>
      <c r="N490" s="1">
        <f t="shared" si="133"/>
        <v>5.333333333333333</v>
      </c>
      <c r="O490" s="1">
        <f>N490*(1+Control_Panel!$B$2)</f>
        <v>5.333333333333333</v>
      </c>
      <c r="P490" s="12">
        <f t="shared" si="134"/>
        <v>0.2</v>
      </c>
      <c r="Q490" t="str" cm="1">
        <f t="array" ref="Q490">_xlfn.IFS(P490&lt;0.2,"Stable",P490&lt;=0.5,"Moderate",P490&gt;0.5,"Highly veriable")</f>
        <v>Moderate</v>
      </c>
      <c r="R490" s="1">
        <f t="shared" si="135"/>
        <v>153.46660874600701</v>
      </c>
      <c r="S490" s="1">
        <f t="shared" si="136"/>
        <v>181.79994207934035</v>
      </c>
      <c r="T490" s="1">
        <f t="shared" si="137"/>
        <v>804.20005792065967</v>
      </c>
      <c r="U490" t="str">
        <f t="shared" si="138"/>
        <v xml:space="preserve"> Safe</v>
      </c>
      <c r="V490">
        <f t="shared" si="139"/>
        <v>1920</v>
      </c>
      <c r="W490" s="9">
        <f t="shared" si="140"/>
        <v>106176</v>
      </c>
      <c r="Y490">
        <f t="shared" si="141"/>
        <v>2.3804680374181326E-4</v>
      </c>
      <c r="Z490" s="12">
        <f t="shared" si="151"/>
        <v>0.99792102006899641</v>
      </c>
      <c r="AA490" t="str">
        <f t="shared" si="142"/>
        <v>C</v>
      </c>
      <c r="AB490" t="str">
        <f t="shared" si="143"/>
        <v>X</v>
      </c>
      <c r="AC490" t="str">
        <f t="shared" si="144"/>
        <v>CX</v>
      </c>
      <c r="AD490" t="str">
        <f t="shared" si="145"/>
        <v>Simplified Bulk Control</v>
      </c>
      <c r="AE490" t="str">
        <f t="shared" si="146"/>
        <v>Monthly</v>
      </c>
      <c r="AF490" t="str">
        <f t="shared" si="147"/>
        <v>Bulk Ordering</v>
      </c>
      <c r="AG490" t="str">
        <f t="shared" si="148"/>
        <v>Low</v>
      </c>
      <c r="AH490">
        <f t="shared" si="149"/>
        <v>30</v>
      </c>
      <c r="AI490" t="str">
        <f t="shared" si="150"/>
        <v>Low</v>
      </c>
    </row>
    <row r="491" spans="1:35">
      <c r="A491" t="s">
        <v>373</v>
      </c>
      <c r="B491" t="s">
        <v>18</v>
      </c>
      <c r="C491" t="s">
        <v>22</v>
      </c>
      <c r="D491" t="s">
        <v>19</v>
      </c>
      <c r="E491">
        <v>512</v>
      </c>
      <c r="F491">
        <v>85</v>
      </c>
      <c r="G491">
        <v>22</v>
      </c>
      <c r="H491">
        <v>28</v>
      </c>
      <c r="I491">
        <v>101.04</v>
      </c>
      <c r="J491">
        <v>0.21</v>
      </c>
      <c r="K491">
        <v>384</v>
      </c>
      <c r="L491">
        <v>0.72</v>
      </c>
      <c r="M491">
        <v>7</v>
      </c>
      <c r="N491" s="1">
        <f t="shared" si="133"/>
        <v>2.8333333333333335</v>
      </c>
      <c r="O491" s="1">
        <f>N491*(1+Control_Panel!$B$2)</f>
        <v>2.8333333333333335</v>
      </c>
      <c r="P491" s="12">
        <f t="shared" si="134"/>
        <v>0.25882352941176473</v>
      </c>
      <c r="Q491" t="str" cm="1">
        <f t="array" ref="Q491">_xlfn.IFS(P491&lt;0.2,"Stable",P491&lt;=0.5,"Moderate",P491&gt;0.5,"Highly veriable")</f>
        <v>Moderate</v>
      </c>
      <c r="R491" s="1">
        <f t="shared" si="135"/>
        <v>116.413057686842</v>
      </c>
      <c r="S491" s="1">
        <f t="shared" si="136"/>
        <v>147.24639102017534</v>
      </c>
      <c r="T491" s="1">
        <f t="shared" si="137"/>
        <v>364.75360897982466</v>
      </c>
      <c r="U491" t="str">
        <f t="shared" si="138"/>
        <v xml:space="preserve"> Safe</v>
      </c>
      <c r="V491">
        <f t="shared" si="139"/>
        <v>1020</v>
      </c>
      <c r="W491" s="9">
        <f t="shared" si="140"/>
        <v>103060.8</v>
      </c>
      <c r="Y491">
        <f t="shared" si="141"/>
        <v>2.3106251912931614E-4</v>
      </c>
      <c r="Z491" s="12">
        <f t="shared" si="151"/>
        <v>0.99815208258812571</v>
      </c>
      <c r="AA491" t="str">
        <f t="shared" si="142"/>
        <v>C</v>
      </c>
      <c r="AB491" t="str">
        <f t="shared" si="143"/>
        <v>Y</v>
      </c>
      <c r="AC491" t="str">
        <f t="shared" si="144"/>
        <v>CY</v>
      </c>
      <c r="AD491" t="str">
        <f t="shared" si="145"/>
        <v>Low-Priority Monitoring</v>
      </c>
      <c r="AE491" t="str">
        <f t="shared" si="146"/>
        <v>Monthly Review</v>
      </c>
      <c r="AF491" t="str">
        <f t="shared" si="147"/>
        <v>Low Priority Monitoring</v>
      </c>
      <c r="AG491" t="str">
        <f t="shared" si="148"/>
        <v>Low</v>
      </c>
      <c r="AH491">
        <f t="shared" si="149"/>
        <v>40</v>
      </c>
      <c r="AI491" t="str">
        <f t="shared" si="150"/>
        <v>Low</v>
      </c>
    </row>
    <row r="492" spans="1:35">
      <c r="A492" t="s">
        <v>83</v>
      </c>
      <c r="B492" t="s">
        <v>14</v>
      </c>
      <c r="C492" t="s">
        <v>15</v>
      </c>
      <c r="D492" t="s">
        <v>41</v>
      </c>
      <c r="E492">
        <v>83</v>
      </c>
      <c r="F492">
        <v>138</v>
      </c>
      <c r="G492">
        <v>83</v>
      </c>
      <c r="H492">
        <v>21</v>
      </c>
      <c r="I492">
        <v>62.09</v>
      </c>
      <c r="J492">
        <v>0.15</v>
      </c>
      <c r="K492">
        <v>154</v>
      </c>
      <c r="L492">
        <v>0.9</v>
      </c>
      <c r="M492">
        <v>9</v>
      </c>
      <c r="N492" s="1">
        <f t="shared" si="133"/>
        <v>4.5999999999999996</v>
      </c>
      <c r="O492" s="1">
        <f>N492*(1+Control_Panel!$B$2)</f>
        <v>4.5999999999999996</v>
      </c>
      <c r="P492" s="12">
        <f t="shared" si="134"/>
        <v>0.60144927536231885</v>
      </c>
      <c r="Q492" t="str" cm="1">
        <f t="array" ref="Q492">_xlfn.IFS(P492&lt;0.2,"Stable",P492&lt;=0.5,"Moderate",P492&gt;0.5,"Highly veriable")</f>
        <v>Highly veriable</v>
      </c>
      <c r="R492" s="1">
        <f t="shared" si="135"/>
        <v>380.35378268133468</v>
      </c>
      <c r="S492" s="1">
        <f t="shared" si="136"/>
        <v>405.9537826813347</v>
      </c>
      <c r="T492" s="1">
        <f t="shared" si="137"/>
        <v>-322.9537826813347</v>
      </c>
      <c r="U492" t="str">
        <f t="shared" si="138"/>
        <v xml:space="preserve"> Need to Order</v>
      </c>
      <c r="V492">
        <f t="shared" si="139"/>
        <v>1656</v>
      </c>
      <c r="W492" s="9">
        <f t="shared" si="140"/>
        <v>102821.04000000001</v>
      </c>
      <c r="Y492">
        <f t="shared" si="141"/>
        <v>2.3052497673117404E-4</v>
      </c>
      <c r="Z492" s="12">
        <f t="shared" si="151"/>
        <v>0.99838260756485686</v>
      </c>
      <c r="AA492" t="str">
        <f t="shared" si="142"/>
        <v>C</v>
      </c>
      <c r="AB492" t="str">
        <f t="shared" si="143"/>
        <v>Z</v>
      </c>
      <c r="AC492" t="str">
        <f t="shared" si="144"/>
        <v>CZ</v>
      </c>
      <c r="AD492" t="str">
        <f t="shared" si="145"/>
        <v>Minimal Control</v>
      </c>
      <c r="AE492" t="str">
        <f t="shared" si="146"/>
        <v>Quarterly</v>
      </c>
      <c r="AF492" t="str">
        <f t="shared" si="147"/>
        <v>Reduce Inventory Exposure</v>
      </c>
      <c r="AG492" t="str">
        <f t="shared" si="148"/>
        <v>Low</v>
      </c>
      <c r="AH492">
        <f t="shared" si="149"/>
        <v>50</v>
      </c>
      <c r="AI492" t="str">
        <f t="shared" si="150"/>
        <v>Medium</v>
      </c>
    </row>
    <row r="493" spans="1:35">
      <c r="A493" t="s">
        <v>158</v>
      </c>
      <c r="B493" t="s">
        <v>40</v>
      </c>
      <c r="C493" t="s">
        <v>15</v>
      </c>
      <c r="D493" t="s">
        <v>19</v>
      </c>
      <c r="E493">
        <v>194</v>
      </c>
      <c r="F493">
        <v>57</v>
      </c>
      <c r="G493">
        <v>79</v>
      </c>
      <c r="H493">
        <v>25</v>
      </c>
      <c r="I493">
        <v>145.47999999999999</v>
      </c>
      <c r="J493">
        <v>0.09</v>
      </c>
      <c r="K493">
        <v>483</v>
      </c>
      <c r="L493">
        <v>0.87</v>
      </c>
      <c r="M493">
        <v>10</v>
      </c>
      <c r="N493" s="1">
        <f t="shared" si="133"/>
        <v>1.9</v>
      </c>
      <c r="O493" s="1">
        <f>N493*(1+Control_Panel!$B$2)</f>
        <v>1.9</v>
      </c>
      <c r="P493" s="12">
        <f t="shared" si="134"/>
        <v>1.3859649122807018</v>
      </c>
      <c r="Q493" t="str" cm="1">
        <f t="array" ref="Q493">_xlfn.IFS(P493&lt;0.2,"Stable",P493&lt;=0.5,"Moderate",P493&gt;0.5,"Highly veriable")</f>
        <v>Highly veriable</v>
      </c>
      <c r="R493" s="1">
        <f t="shared" si="135"/>
        <v>395</v>
      </c>
      <c r="S493" s="1">
        <f t="shared" si="136"/>
        <v>421.9</v>
      </c>
      <c r="T493" s="1">
        <f t="shared" si="137"/>
        <v>-227.89999999999998</v>
      </c>
      <c r="U493" t="str">
        <f t="shared" si="138"/>
        <v xml:space="preserve"> Need to Order</v>
      </c>
      <c r="V493">
        <f t="shared" si="139"/>
        <v>684</v>
      </c>
      <c r="W493" s="9">
        <f t="shared" si="140"/>
        <v>99508.319999999992</v>
      </c>
      <c r="Y493">
        <f t="shared" si="141"/>
        <v>2.2309785188477199E-4</v>
      </c>
      <c r="Z493" s="12">
        <f t="shared" si="151"/>
        <v>0.99860570541674165</v>
      </c>
      <c r="AA493" t="str">
        <f t="shared" si="142"/>
        <v>C</v>
      </c>
      <c r="AB493" t="str">
        <f t="shared" si="143"/>
        <v>Z</v>
      </c>
      <c r="AC493" t="str">
        <f t="shared" si="144"/>
        <v>CZ</v>
      </c>
      <c r="AD493" t="str">
        <f t="shared" si="145"/>
        <v>Minimal Control</v>
      </c>
      <c r="AE493" t="str">
        <f t="shared" si="146"/>
        <v>Quarterly</v>
      </c>
      <c r="AF493" t="str">
        <f t="shared" si="147"/>
        <v>Reduce Inventory Exposure</v>
      </c>
      <c r="AG493" t="str">
        <f t="shared" si="148"/>
        <v>Low</v>
      </c>
      <c r="AH493">
        <f t="shared" si="149"/>
        <v>50</v>
      </c>
      <c r="AI493" t="str">
        <f t="shared" si="150"/>
        <v>Medium</v>
      </c>
    </row>
    <row r="494" spans="1:35">
      <c r="A494" t="s">
        <v>62</v>
      </c>
      <c r="B494" t="s">
        <v>18</v>
      </c>
      <c r="C494" t="s">
        <v>15</v>
      </c>
      <c r="D494" t="s">
        <v>23</v>
      </c>
      <c r="E494">
        <v>89</v>
      </c>
      <c r="F494">
        <v>98</v>
      </c>
      <c r="G494">
        <v>61</v>
      </c>
      <c r="H494">
        <v>12</v>
      </c>
      <c r="I494">
        <v>83.02</v>
      </c>
      <c r="J494">
        <v>0.13</v>
      </c>
      <c r="K494">
        <v>515</v>
      </c>
      <c r="L494">
        <v>0.85</v>
      </c>
      <c r="M494">
        <v>9</v>
      </c>
      <c r="N494" s="1">
        <f t="shared" si="133"/>
        <v>3.2666666666666666</v>
      </c>
      <c r="O494" s="1">
        <f>N494*(1+Control_Panel!$B$2)</f>
        <v>3.2666666666666666</v>
      </c>
      <c r="P494" s="12">
        <f t="shared" si="134"/>
        <v>0.62244897959183676</v>
      </c>
      <c r="Q494" t="str" cm="1">
        <f t="array" ref="Q494">_xlfn.IFS(P494&lt;0.2,"Stable",P494&lt;=0.5,"Moderate",P494&gt;0.5,"Highly veriable")</f>
        <v>Highly veriable</v>
      </c>
      <c r="R494" s="1">
        <f t="shared" si="135"/>
        <v>211.31019852340302</v>
      </c>
      <c r="S494" s="1">
        <f t="shared" si="136"/>
        <v>226.57686519006967</v>
      </c>
      <c r="T494" s="1">
        <f t="shared" si="137"/>
        <v>-137.57686519006967</v>
      </c>
      <c r="U494" t="str">
        <f t="shared" si="138"/>
        <v xml:space="preserve"> Need to Order</v>
      </c>
      <c r="V494">
        <f t="shared" si="139"/>
        <v>1176</v>
      </c>
      <c r="W494" s="9">
        <f t="shared" si="140"/>
        <v>97631.51999999999</v>
      </c>
      <c r="Y494">
        <f t="shared" si="141"/>
        <v>2.1889006254195785E-4</v>
      </c>
      <c r="Z494" s="12">
        <f t="shared" si="151"/>
        <v>0.99882459547928359</v>
      </c>
      <c r="AA494" t="str">
        <f t="shared" si="142"/>
        <v>C</v>
      </c>
      <c r="AB494" t="str">
        <f t="shared" si="143"/>
        <v>Z</v>
      </c>
      <c r="AC494" t="str">
        <f t="shared" si="144"/>
        <v>CZ</v>
      </c>
      <c r="AD494" t="str">
        <f t="shared" si="145"/>
        <v>Minimal Control</v>
      </c>
      <c r="AE494" t="str">
        <f t="shared" si="146"/>
        <v>Quarterly</v>
      </c>
      <c r="AF494" t="str">
        <f t="shared" si="147"/>
        <v>Reduce Inventory Exposure</v>
      </c>
      <c r="AG494" t="str">
        <f t="shared" si="148"/>
        <v>Low</v>
      </c>
      <c r="AH494">
        <f t="shared" si="149"/>
        <v>50</v>
      </c>
      <c r="AI494" t="str">
        <f t="shared" si="150"/>
        <v>Medium</v>
      </c>
    </row>
    <row r="495" spans="1:35">
      <c r="A495" t="s">
        <v>68</v>
      </c>
      <c r="B495" t="s">
        <v>34</v>
      </c>
      <c r="C495" t="s">
        <v>15</v>
      </c>
      <c r="D495" t="s">
        <v>23</v>
      </c>
      <c r="E495">
        <v>902</v>
      </c>
      <c r="F495">
        <v>89</v>
      </c>
      <c r="G495">
        <v>76</v>
      </c>
      <c r="H495">
        <v>8</v>
      </c>
      <c r="I495">
        <v>84.43</v>
      </c>
      <c r="J495">
        <v>0.18</v>
      </c>
      <c r="K495">
        <v>533</v>
      </c>
      <c r="L495">
        <v>0.83</v>
      </c>
      <c r="M495">
        <v>7</v>
      </c>
      <c r="N495" s="1">
        <f t="shared" si="133"/>
        <v>2.9666666666666668</v>
      </c>
      <c r="O495" s="1">
        <f>N495*(1+Control_Panel!$B$2)</f>
        <v>2.9666666666666668</v>
      </c>
      <c r="P495" s="12">
        <f t="shared" si="134"/>
        <v>0.8539325842696629</v>
      </c>
      <c r="Q495" t="str" cm="1">
        <f t="array" ref="Q495">_xlfn.IFS(P495&lt;0.2,"Stable",P495&lt;=0.5,"Moderate",P495&gt;0.5,"Highly veriable")</f>
        <v>Highly veriable</v>
      </c>
      <c r="R495" s="1">
        <f t="shared" si="135"/>
        <v>214.96046148071045</v>
      </c>
      <c r="S495" s="1">
        <f t="shared" si="136"/>
        <v>225.92712814737712</v>
      </c>
      <c r="T495" s="1">
        <f t="shared" si="137"/>
        <v>676.07287185262294</v>
      </c>
      <c r="U495" t="str">
        <f t="shared" si="138"/>
        <v xml:space="preserve"> Safe</v>
      </c>
      <c r="V495">
        <f t="shared" si="139"/>
        <v>1068</v>
      </c>
      <c r="W495" s="9">
        <f t="shared" si="140"/>
        <v>90171.24</v>
      </c>
      <c r="Y495">
        <f t="shared" si="141"/>
        <v>2.0216409990427163E-4</v>
      </c>
      <c r="Z495" s="12">
        <f t="shared" si="151"/>
        <v>0.99902675957918785</v>
      </c>
      <c r="AA495" t="str">
        <f t="shared" si="142"/>
        <v>C</v>
      </c>
      <c r="AB495" t="str">
        <f t="shared" si="143"/>
        <v>Z</v>
      </c>
      <c r="AC495" t="str">
        <f t="shared" si="144"/>
        <v>CZ</v>
      </c>
      <c r="AD495" t="str">
        <f t="shared" si="145"/>
        <v>Minimal Control</v>
      </c>
      <c r="AE495" t="str">
        <f t="shared" si="146"/>
        <v>Quarterly</v>
      </c>
      <c r="AF495" t="str">
        <f t="shared" si="147"/>
        <v>Reduce Inventory Exposure</v>
      </c>
      <c r="AG495" t="str">
        <f t="shared" si="148"/>
        <v>Low</v>
      </c>
      <c r="AH495">
        <f t="shared" si="149"/>
        <v>40</v>
      </c>
      <c r="AI495" t="str">
        <f t="shared" si="150"/>
        <v>Low</v>
      </c>
    </row>
    <row r="496" spans="1:35">
      <c r="A496" t="s">
        <v>452</v>
      </c>
      <c r="B496" t="s">
        <v>38</v>
      </c>
      <c r="C496" t="s">
        <v>15</v>
      </c>
      <c r="D496" t="s">
        <v>16</v>
      </c>
      <c r="E496">
        <v>271</v>
      </c>
      <c r="F496">
        <v>93</v>
      </c>
      <c r="G496">
        <v>42</v>
      </c>
      <c r="H496">
        <v>17</v>
      </c>
      <c r="I496">
        <v>79.989999999999995</v>
      </c>
      <c r="J496">
        <v>0.09</v>
      </c>
      <c r="K496">
        <v>217</v>
      </c>
      <c r="L496">
        <v>0.99</v>
      </c>
      <c r="M496">
        <v>8</v>
      </c>
      <c r="N496" s="1">
        <f t="shared" si="133"/>
        <v>3.1</v>
      </c>
      <c r="O496" s="1">
        <f>N496*(1+Control_Panel!$B$2)</f>
        <v>3.1</v>
      </c>
      <c r="P496" s="12">
        <f t="shared" si="134"/>
        <v>0.45161290322580644</v>
      </c>
      <c r="Q496" t="str" cm="1">
        <f t="array" ref="Q496">_xlfn.IFS(P496&lt;0.2,"Stable",P496&lt;=0.5,"Moderate",P496&gt;0.5,"Highly veriable")</f>
        <v>Moderate</v>
      </c>
      <c r="R496" s="1">
        <f t="shared" si="135"/>
        <v>173.17043627594174</v>
      </c>
      <c r="S496" s="1">
        <f t="shared" si="136"/>
        <v>193.27043627594173</v>
      </c>
      <c r="T496" s="1">
        <f t="shared" si="137"/>
        <v>77.729563724058266</v>
      </c>
      <c r="U496" t="str">
        <f t="shared" si="138"/>
        <v xml:space="preserve"> Risk</v>
      </c>
      <c r="V496">
        <f t="shared" si="139"/>
        <v>1116</v>
      </c>
      <c r="W496" s="9">
        <f t="shared" si="140"/>
        <v>89268.84</v>
      </c>
      <c r="Y496">
        <f t="shared" si="141"/>
        <v>2.0014091730465765E-4</v>
      </c>
      <c r="Z496" s="12">
        <f t="shared" si="151"/>
        <v>0.99922690049649254</v>
      </c>
      <c r="AA496" t="str">
        <f t="shared" si="142"/>
        <v>C</v>
      </c>
      <c r="AB496" t="str">
        <f t="shared" si="143"/>
        <v>Y</v>
      </c>
      <c r="AC496" t="str">
        <f t="shared" si="144"/>
        <v>CY</v>
      </c>
      <c r="AD496" t="str">
        <f t="shared" si="145"/>
        <v>Low-Priority Monitoring</v>
      </c>
      <c r="AE496" t="str">
        <f t="shared" si="146"/>
        <v>Monthly Review</v>
      </c>
      <c r="AF496" t="str">
        <f t="shared" si="147"/>
        <v>Low Priority Monitoring</v>
      </c>
      <c r="AG496" t="str">
        <f t="shared" si="148"/>
        <v>Low</v>
      </c>
      <c r="AH496">
        <f t="shared" si="149"/>
        <v>50</v>
      </c>
      <c r="AI496" t="str">
        <f t="shared" si="150"/>
        <v>Medium</v>
      </c>
    </row>
    <row r="497" spans="1:35">
      <c r="A497" t="s">
        <v>362</v>
      </c>
      <c r="B497" t="s">
        <v>21</v>
      </c>
      <c r="C497" t="s">
        <v>15</v>
      </c>
      <c r="D497" t="s">
        <v>23</v>
      </c>
      <c r="E497">
        <v>300</v>
      </c>
      <c r="F497">
        <v>68</v>
      </c>
      <c r="G497">
        <v>88</v>
      </c>
      <c r="H497">
        <v>25</v>
      </c>
      <c r="I497">
        <v>107.87</v>
      </c>
      <c r="J497">
        <v>0.24</v>
      </c>
      <c r="K497">
        <v>778</v>
      </c>
      <c r="L497">
        <v>0.71</v>
      </c>
      <c r="M497">
        <v>3</v>
      </c>
      <c r="N497" s="1">
        <f t="shared" si="133"/>
        <v>2.2666666666666666</v>
      </c>
      <c r="O497" s="1">
        <f>N497*(1+Control_Panel!$B$2)</f>
        <v>2.2666666666666666</v>
      </c>
      <c r="P497" s="12">
        <f t="shared" si="134"/>
        <v>1.2941176470588236</v>
      </c>
      <c r="Q497" t="str" cm="1">
        <f t="array" ref="Q497">_xlfn.IFS(P497&lt;0.2,"Stable",P497&lt;=0.5,"Moderate",P497&gt;0.5,"Highly veriable")</f>
        <v>Highly veriable</v>
      </c>
      <c r="R497" s="1">
        <f t="shared" si="135"/>
        <v>440</v>
      </c>
      <c r="S497" s="1">
        <f t="shared" si="136"/>
        <v>467.26666666666665</v>
      </c>
      <c r="T497" s="1">
        <f t="shared" si="137"/>
        <v>-167.26666666666665</v>
      </c>
      <c r="U497" t="str">
        <f t="shared" si="138"/>
        <v xml:space="preserve"> Need to Order</v>
      </c>
      <c r="V497">
        <f t="shared" si="139"/>
        <v>816</v>
      </c>
      <c r="W497" s="9">
        <f t="shared" si="140"/>
        <v>88021.92</v>
      </c>
      <c r="Y497">
        <f t="shared" si="141"/>
        <v>1.973453201779836E-4</v>
      </c>
      <c r="Z497" s="12">
        <f t="shared" si="151"/>
        <v>0.99942424581667055</v>
      </c>
      <c r="AA497" t="str">
        <f t="shared" si="142"/>
        <v>C</v>
      </c>
      <c r="AB497" t="str">
        <f t="shared" si="143"/>
        <v>Z</v>
      </c>
      <c r="AC497" t="str">
        <f t="shared" si="144"/>
        <v>CZ</v>
      </c>
      <c r="AD497" t="str">
        <f t="shared" si="145"/>
        <v>Minimal Control</v>
      </c>
      <c r="AE497" t="str">
        <f t="shared" si="146"/>
        <v>Quarterly</v>
      </c>
      <c r="AF497" t="str">
        <f t="shared" si="147"/>
        <v>Reduce Inventory Exposure</v>
      </c>
      <c r="AG497" t="str">
        <f t="shared" si="148"/>
        <v>Low</v>
      </c>
      <c r="AH497">
        <f t="shared" si="149"/>
        <v>30</v>
      </c>
      <c r="AI497" t="str">
        <f t="shared" si="150"/>
        <v>Low</v>
      </c>
    </row>
    <row r="498" spans="1:35">
      <c r="A498" t="s">
        <v>349</v>
      </c>
      <c r="B498" t="s">
        <v>21</v>
      </c>
      <c r="C498" t="s">
        <v>15</v>
      </c>
      <c r="D498" t="s">
        <v>41</v>
      </c>
      <c r="E498">
        <v>697</v>
      </c>
      <c r="F498">
        <v>79</v>
      </c>
      <c r="G498">
        <v>77</v>
      </c>
      <c r="H498">
        <v>18</v>
      </c>
      <c r="I498">
        <v>84.13</v>
      </c>
      <c r="J498">
        <v>0.22</v>
      </c>
      <c r="K498">
        <v>713</v>
      </c>
      <c r="L498">
        <v>0.86</v>
      </c>
      <c r="M498">
        <v>7</v>
      </c>
      <c r="N498" s="1">
        <f t="shared" si="133"/>
        <v>2.6333333333333333</v>
      </c>
      <c r="O498" s="1">
        <f>N498*(1+Control_Panel!$B$2)</f>
        <v>2.6333333333333333</v>
      </c>
      <c r="P498" s="12">
        <f t="shared" si="134"/>
        <v>0.97468354430379744</v>
      </c>
      <c r="Q498" t="str" cm="1">
        <f t="array" ref="Q498">_xlfn.IFS(P498&lt;0.2,"Stable",P498&lt;=0.5,"Moderate",P498&gt;0.5,"Highly veriable")</f>
        <v>Highly veriable</v>
      </c>
      <c r="R498" s="1">
        <f t="shared" si="135"/>
        <v>326.68333290818492</v>
      </c>
      <c r="S498" s="1">
        <f t="shared" si="136"/>
        <v>347.31666624151825</v>
      </c>
      <c r="T498" s="1">
        <f t="shared" si="137"/>
        <v>349.68333375848175</v>
      </c>
      <c r="U498" t="str">
        <f t="shared" si="138"/>
        <v xml:space="preserve"> Safe</v>
      </c>
      <c r="V498">
        <f t="shared" si="139"/>
        <v>948</v>
      </c>
      <c r="W498" s="9">
        <f t="shared" si="140"/>
        <v>79755.239999999991</v>
      </c>
      <c r="Y498">
        <f t="shared" si="141"/>
        <v>1.7881140713213168E-4</v>
      </c>
      <c r="Z498" s="12">
        <f t="shared" si="151"/>
        <v>0.99960305722380272</v>
      </c>
      <c r="AA498" t="str">
        <f t="shared" si="142"/>
        <v>C</v>
      </c>
      <c r="AB498" t="str">
        <f t="shared" si="143"/>
        <v>Z</v>
      </c>
      <c r="AC498" t="str">
        <f t="shared" si="144"/>
        <v>CZ</v>
      </c>
      <c r="AD498" t="str">
        <f t="shared" si="145"/>
        <v>Minimal Control</v>
      </c>
      <c r="AE498" t="str">
        <f t="shared" si="146"/>
        <v>Quarterly</v>
      </c>
      <c r="AF498" t="str">
        <f t="shared" si="147"/>
        <v>Reduce Inventory Exposure</v>
      </c>
      <c r="AG498" t="str">
        <f t="shared" si="148"/>
        <v>Low</v>
      </c>
      <c r="AH498">
        <f t="shared" si="149"/>
        <v>40</v>
      </c>
      <c r="AI498" t="str">
        <f t="shared" si="150"/>
        <v>Low</v>
      </c>
    </row>
    <row r="499" spans="1:35">
      <c r="A499" t="s">
        <v>523</v>
      </c>
      <c r="B499" t="s">
        <v>38</v>
      </c>
      <c r="C499" t="s">
        <v>22</v>
      </c>
      <c r="D499" t="s">
        <v>41</v>
      </c>
      <c r="E499">
        <v>302</v>
      </c>
      <c r="F499">
        <v>78</v>
      </c>
      <c r="G499">
        <v>51</v>
      </c>
      <c r="H499">
        <v>1</v>
      </c>
      <c r="I499">
        <v>80.62</v>
      </c>
      <c r="J499">
        <v>0.24</v>
      </c>
      <c r="K499">
        <v>559</v>
      </c>
      <c r="L499">
        <v>0.78</v>
      </c>
      <c r="M499">
        <v>5</v>
      </c>
      <c r="N499" s="1">
        <f t="shared" si="133"/>
        <v>2.6</v>
      </c>
      <c r="O499" s="1">
        <f>N499*(1+Control_Panel!$B$2)</f>
        <v>2.6</v>
      </c>
      <c r="P499" s="12">
        <f t="shared" si="134"/>
        <v>0.65384615384615385</v>
      </c>
      <c r="Q499" t="str" cm="1">
        <f t="array" ref="Q499">_xlfn.IFS(P499&lt;0.2,"Stable",P499&lt;=0.5,"Moderate",P499&gt;0.5,"Highly veriable")</f>
        <v>Highly veriable</v>
      </c>
      <c r="R499" s="1">
        <f t="shared" si="135"/>
        <v>51</v>
      </c>
      <c r="S499" s="1">
        <f t="shared" si="136"/>
        <v>54.6</v>
      </c>
      <c r="T499" s="1">
        <f t="shared" si="137"/>
        <v>247.4</v>
      </c>
      <c r="U499" t="str">
        <f t="shared" si="138"/>
        <v xml:space="preserve"> Safe</v>
      </c>
      <c r="V499">
        <f t="shared" si="139"/>
        <v>936</v>
      </c>
      <c r="W499" s="9">
        <f t="shared" si="140"/>
        <v>75460.320000000007</v>
      </c>
      <c r="Y499">
        <f t="shared" si="141"/>
        <v>1.6918218792697436E-4</v>
      </c>
      <c r="Z499" s="12">
        <f t="shared" si="151"/>
        <v>0.99977223941172966</v>
      </c>
      <c r="AA499" t="str">
        <f t="shared" si="142"/>
        <v>C</v>
      </c>
      <c r="AB499" t="str">
        <f t="shared" si="143"/>
        <v>Z</v>
      </c>
      <c r="AC499" t="str">
        <f t="shared" si="144"/>
        <v>CZ</v>
      </c>
      <c r="AD499" t="str">
        <f t="shared" si="145"/>
        <v>Minimal Control</v>
      </c>
      <c r="AE499" t="str">
        <f t="shared" si="146"/>
        <v>Quarterly</v>
      </c>
      <c r="AF499" t="str">
        <f t="shared" si="147"/>
        <v>Reduce Inventory Exposure</v>
      </c>
      <c r="AG499" t="str">
        <f t="shared" si="148"/>
        <v>Low</v>
      </c>
      <c r="AH499">
        <f t="shared" si="149"/>
        <v>40</v>
      </c>
      <c r="AI499" t="str">
        <f t="shared" si="150"/>
        <v>Low</v>
      </c>
    </row>
    <row r="500" spans="1:35">
      <c r="A500" t="s">
        <v>372</v>
      </c>
      <c r="B500" t="s">
        <v>18</v>
      </c>
      <c r="C500" t="s">
        <v>15</v>
      </c>
      <c r="D500" t="s">
        <v>16</v>
      </c>
      <c r="E500">
        <v>724</v>
      </c>
      <c r="F500">
        <v>86</v>
      </c>
      <c r="G500">
        <v>46</v>
      </c>
      <c r="H500">
        <v>1</v>
      </c>
      <c r="I500">
        <v>54.07</v>
      </c>
      <c r="J500">
        <v>0.23</v>
      </c>
      <c r="K500">
        <v>449</v>
      </c>
      <c r="L500">
        <v>0.96</v>
      </c>
      <c r="M500">
        <v>4</v>
      </c>
      <c r="N500" s="1">
        <f t="shared" si="133"/>
        <v>2.8666666666666667</v>
      </c>
      <c r="O500" s="1">
        <f>N500*(1+Control_Panel!$B$2)</f>
        <v>2.8666666666666667</v>
      </c>
      <c r="P500" s="12">
        <f t="shared" si="134"/>
        <v>0.53488372093023251</v>
      </c>
      <c r="Q500" t="str" cm="1">
        <f t="array" ref="Q500">_xlfn.IFS(P500&lt;0.2,"Stable",P500&lt;=0.5,"Moderate",P500&gt;0.5,"Highly veriable")</f>
        <v>Highly veriable</v>
      </c>
      <c r="R500" s="1">
        <f t="shared" si="135"/>
        <v>46</v>
      </c>
      <c r="S500" s="1">
        <f t="shared" si="136"/>
        <v>49.866666666666667</v>
      </c>
      <c r="T500" s="1">
        <f t="shared" si="137"/>
        <v>674.13333333333333</v>
      </c>
      <c r="U500" t="str">
        <f t="shared" si="138"/>
        <v xml:space="preserve"> Safe</v>
      </c>
      <c r="V500">
        <f t="shared" si="139"/>
        <v>1032</v>
      </c>
      <c r="W500" s="9">
        <f t="shared" si="140"/>
        <v>55800.24</v>
      </c>
      <c r="Y500">
        <f t="shared" si="141"/>
        <v>1.2510424935979956E-4</v>
      </c>
      <c r="Z500" s="12">
        <f t="shared" si="151"/>
        <v>0.99989734366108951</v>
      </c>
      <c r="AA500" t="str">
        <f t="shared" si="142"/>
        <v>C</v>
      </c>
      <c r="AB500" t="str">
        <f t="shared" si="143"/>
        <v>Z</v>
      </c>
      <c r="AC500" t="str">
        <f t="shared" si="144"/>
        <v>CZ</v>
      </c>
      <c r="AD500" t="str">
        <f t="shared" si="145"/>
        <v>Minimal Control</v>
      </c>
      <c r="AE500" t="str">
        <f t="shared" si="146"/>
        <v>Quarterly</v>
      </c>
      <c r="AF500" t="str">
        <f t="shared" si="147"/>
        <v>Reduce Inventory Exposure</v>
      </c>
      <c r="AG500" t="str">
        <f t="shared" si="148"/>
        <v>Low</v>
      </c>
      <c r="AH500">
        <f t="shared" si="149"/>
        <v>30</v>
      </c>
      <c r="AI500" t="str">
        <f t="shared" si="150"/>
        <v>Low</v>
      </c>
    </row>
    <row r="501" spans="1:35">
      <c r="A501" t="s">
        <v>206</v>
      </c>
      <c r="B501" t="s">
        <v>14</v>
      </c>
      <c r="C501" t="s">
        <v>15</v>
      </c>
      <c r="D501" t="s">
        <v>23</v>
      </c>
      <c r="E501">
        <v>627</v>
      </c>
      <c r="F501">
        <v>67</v>
      </c>
      <c r="G501">
        <v>95</v>
      </c>
      <c r="H501">
        <v>12</v>
      </c>
      <c r="I501">
        <v>56.95</v>
      </c>
      <c r="J501">
        <v>0.19</v>
      </c>
      <c r="K501">
        <v>821</v>
      </c>
      <c r="L501">
        <v>0.96</v>
      </c>
      <c r="M501">
        <v>7</v>
      </c>
      <c r="N501" s="1">
        <f t="shared" si="133"/>
        <v>2.2333333333333334</v>
      </c>
      <c r="O501" s="1">
        <f>N501*(1+Control_Panel!$B$2)</f>
        <v>2.2333333333333334</v>
      </c>
      <c r="P501" s="12">
        <f t="shared" si="134"/>
        <v>1.4179104477611941</v>
      </c>
      <c r="Q501" t="str" cm="1">
        <f t="array" ref="Q501">_xlfn.IFS(P501&lt;0.2,"Stable",P501&lt;=0.5,"Moderate",P501&gt;0.5,"Highly veriable")</f>
        <v>Highly veriable</v>
      </c>
      <c r="R501" s="1">
        <f t="shared" si="135"/>
        <v>329.08965343808666</v>
      </c>
      <c r="S501" s="1">
        <f t="shared" si="136"/>
        <v>343.32298677142001</v>
      </c>
      <c r="T501" s="1">
        <f t="shared" si="137"/>
        <v>283.67701322857999</v>
      </c>
      <c r="U501" t="str">
        <f t="shared" si="138"/>
        <v xml:space="preserve"> Risk</v>
      </c>
      <c r="V501">
        <f t="shared" si="139"/>
        <v>804</v>
      </c>
      <c r="W501" s="9">
        <f t="shared" si="140"/>
        <v>45787.8</v>
      </c>
      <c r="Y501">
        <f t="shared" si="141"/>
        <v>1.0265633891246043E-4</v>
      </c>
      <c r="Z501" s="12">
        <f t="shared" si="151"/>
        <v>1.000000000000002</v>
      </c>
      <c r="AA501" t="str">
        <f t="shared" si="142"/>
        <v>C</v>
      </c>
      <c r="AB501" t="str">
        <f t="shared" si="143"/>
        <v>Z</v>
      </c>
      <c r="AC501" t="str">
        <f t="shared" si="144"/>
        <v>CZ</v>
      </c>
      <c r="AD501" t="str">
        <f t="shared" si="145"/>
        <v>Minimal Control</v>
      </c>
      <c r="AE501" t="str">
        <f t="shared" si="146"/>
        <v>Quarterly</v>
      </c>
      <c r="AF501" t="str">
        <f t="shared" si="147"/>
        <v>Reduce Inventory Exposure</v>
      </c>
      <c r="AG501" t="str">
        <f t="shared" si="148"/>
        <v>Low</v>
      </c>
      <c r="AH501">
        <f t="shared" si="149"/>
        <v>40</v>
      </c>
      <c r="AI501" t="str">
        <f t="shared" si="150"/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0652-31FB-47CD-991C-40F664310404}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6.21875" bestFit="1" customWidth="1"/>
  </cols>
  <sheetData>
    <row r="1" spans="1:2">
      <c r="A1" s="3" t="s">
        <v>531</v>
      </c>
      <c r="B1" s="3" t="s">
        <v>530</v>
      </c>
    </row>
    <row r="2" spans="1:2">
      <c r="A2" s="4" t="s">
        <v>529</v>
      </c>
      <c r="B2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BD6F-4547-4D46-8D3F-907B0E96D1A9}">
  <dimension ref="A1:R34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8.21875" bestFit="1" customWidth="1"/>
    <col min="2" max="2" width="13.77734375" bestFit="1" customWidth="1"/>
    <col min="3" max="3" width="9" bestFit="1" customWidth="1"/>
    <col min="4" max="4" width="14.44140625" bestFit="1" customWidth="1"/>
    <col min="5" max="5" width="13.21875" bestFit="1" customWidth="1"/>
    <col min="6" max="6" width="9.6640625" bestFit="1" customWidth="1"/>
    <col min="7" max="7" width="20.6640625" bestFit="1" customWidth="1"/>
    <col min="8" max="8" width="23.44140625" bestFit="1" customWidth="1"/>
    <col min="9" max="9" width="16.88671875" bestFit="1" customWidth="1"/>
    <col min="10" max="10" width="5.109375" customWidth="1"/>
    <col min="11" max="11" width="16.88671875" customWidth="1"/>
    <col min="12" max="12" width="5.109375" customWidth="1"/>
    <col min="13" max="13" width="24.88671875" bestFit="1" customWidth="1"/>
    <col min="14" max="14" width="15.33203125" bestFit="1" customWidth="1"/>
    <col min="15" max="15" width="4.77734375" bestFit="1" customWidth="1"/>
    <col min="16" max="16" width="8.109375" bestFit="1" customWidth="1"/>
    <col min="17" max="17" width="4.44140625" bestFit="1" customWidth="1"/>
    <col min="18" max="18" width="10.77734375" bestFit="1" customWidth="1"/>
  </cols>
  <sheetData>
    <row r="1" spans="1:18" s="6" customFormat="1">
      <c r="A1" s="6" t="s">
        <v>0</v>
      </c>
      <c r="B1" s="6" t="s">
        <v>1</v>
      </c>
      <c r="C1" s="6" t="s">
        <v>3</v>
      </c>
      <c r="D1" s="6" t="s">
        <v>545</v>
      </c>
      <c r="E1" s="6" t="s">
        <v>538</v>
      </c>
      <c r="F1" s="6" t="s">
        <v>549</v>
      </c>
      <c r="G1" s="6" t="s">
        <v>546</v>
      </c>
      <c r="H1" s="6" t="s">
        <v>548</v>
      </c>
      <c r="I1" s="6" t="s">
        <v>547</v>
      </c>
    </row>
    <row r="2" spans="1:18">
      <c r="A2" t="str" cm="1">
        <f t="array" ref="A2:I34">_xlfn._xlws.FILTER(
CHOOSE({1,2,3,4,5,6,7,8,9},
Inventory_Data!A2:A501,
Inventory_Data!B2:B501,
Inventory_Data!D2:D501,
Inventory_Data!AC2:AC501,
Inventory_Data!U2:U501,
Inventory_Data!AI2:AI501,
Inventory_Data!AD2:AD501,
Inventory_Data!AF2:AF501,
Inventory_Data!AE2:AE501
),
(Inventory_Data!D2:D501=$K$3)*
(Inventory_Data!AI2:AI501=$K$8),
"No matching records"
)</f>
        <v>ITEM390</v>
      </c>
      <c r="B2" t="str">
        <v>Rod</v>
      </c>
      <c r="C2" t="str">
        <v>Supplier B</v>
      </c>
      <c r="D2" t="str">
        <v>AX</v>
      </c>
      <c r="E2" t="str">
        <v xml:space="preserve"> Need to Order</v>
      </c>
      <c r="F2" t="str">
        <v>Medium</v>
      </c>
      <c r="G2" t="str">
        <v>Strict Control</v>
      </c>
      <c r="H2" t="str">
        <v>Strict Replenishment</v>
      </c>
      <c r="I2" t="str">
        <v>Daily</v>
      </c>
      <c r="K2" s="6" t="s">
        <v>565</v>
      </c>
    </row>
    <row r="3" spans="1:18" ht="15.6">
      <c r="A3" t="str">
        <v>ITEM184</v>
      </c>
      <c r="B3" t="str">
        <v>Pipe B</v>
      </c>
      <c r="C3" t="str">
        <v>Supplier B</v>
      </c>
      <c r="D3" t="str">
        <v>AX</v>
      </c>
      <c r="E3" t="str">
        <v xml:space="preserve"> Safe</v>
      </c>
      <c r="F3" t="str">
        <v>Medium</v>
      </c>
      <c r="G3" t="str">
        <v>Strict Control</v>
      </c>
      <c r="H3" t="str">
        <v>Strict Replenishment</v>
      </c>
      <c r="I3" t="str">
        <v>Daily</v>
      </c>
      <c r="K3" s="17" t="s">
        <v>25</v>
      </c>
      <c r="M3" s="15" t="s">
        <v>560</v>
      </c>
    </row>
    <row r="4" spans="1:18">
      <c r="A4" t="str">
        <v>ITEM143</v>
      </c>
      <c r="B4" t="str">
        <v>Rod</v>
      </c>
      <c r="C4" t="str">
        <v>Supplier B</v>
      </c>
      <c r="D4" t="str">
        <v>AX</v>
      </c>
      <c r="E4" t="str">
        <v xml:space="preserve"> Need to Order</v>
      </c>
      <c r="F4" t="str">
        <v>Medium</v>
      </c>
      <c r="G4" t="str">
        <v>Strict Control</v>
      </c>
      <c r="H4" t="str">
        <v>Strict Replenishment</v>
      </c>
      <c r="I4" t="str">
        <v>Daily</v>
      </c>
      <c r="M4" s="16" t="s">
        <v>562</v>
      </c>
      <c r="N4" s="13" t="s">
        <v>561</v>
      </c>
    </row>
    <row r="5" spans="1:18">
      <c r="A5" t="str">
        <v>ITEM170</v>
      </c>
      <c r="B5" t="str">
        <v>Connector</v>
      </c>
      <c r="C5" t="str">
        <v>Supplier B</v>
      </c>
      <c r="D5" t="str">
        <v>AX</v>
      </c>
      <c r="E5" t="str">
        <v xml:space="preserve"> Safe</v>
      </c>
      <c r="F5" t="str">
        <v>Medium</v>
      </c>
      <c r="G5" t="str">
        <v>Strict Control</v>
      </c>
      <c r="H5" t="str">
        <v>Strict Replenishment</v>
      </c>
      <c r="I5" t="str">
        <v>Daily</v>
      </c>
      <c r="M5" s="13" t="s">
        <v>3</v>
      </c>
      <c r="N5" t="s">
        <v>553</v>
      </c>
      <c r="O5" t="s">
        <v>554</v>
      </c>
      <c r="P5" t="s">
        <v>556</v>
      </c>
      <c r="Q5" t="s">
        <v>555</v>
      </c>
      <c r="R5" t="s">
        <v>551</v>
      </c>
    </row>
    <row r="6" spans="1:18">
      <c r="A6" t="str">
        <v>ITEM185</v>
      </c>
      <c r="B6" t="str">
        <v>Tube</v>
      </c>
      <c r="C6" t="str">
        <v>Supplier B</v>
      </c>
      <c r="D6" t="str">
        <v>AY</v>
      </c>
      <c r="E6" t="str">
        <v xml:space="preserve"> Safe</v>
      </c>
      <c r="F6" t="str">
        <v>Medium</v>
      </c>
      <c r="G6" t="str">
        <v>Frequent Monitoring</v>
      </c>
      <c r="H6" t="str">
        <v>Frequent Monitoring</v>
      </c>
      <c r="I6" t="str">
        <v>Every 2 Days</v>
      </c>
      <c r="M6" s="14" t="s">
        <v>16</v>
      </c>
      <c r="N6">
        <v>7</v>
      </c>
      <c r="O6">
        <v>15</v>
      </c>
      <c r="P6">
        <v>41</v>
      </c>
      <c r="Q6">
        <v>41</v>
      </c>
      <c r="R6">
        <v>104</v>
      </c>
    </row>
    <row r="7" spans="1:18">
      <c r="A7" t="str">
        <v>ITEM320</v>
      </c>
      <c r="B7" t="str">
        <v>Tube</v>
      </c>
      <c r="C7" t="str">
        <v>Supplier B</v>
      </c>
      <c r="D7" t="str">
        <v>AX</v>
      </c>
      <c r="E7" t="str">
        <v xml:space="preserve"> Safe</v>
      </c>
      <c r="F7" t="str">
        <v>Medium</v>
      </c>
      <c r="G7" t="str">
        <v>Strict Control</v>
      </c>
      <c r="H7" t="str">
        <v>Strict Replenishment</v>
      </c>
      <c r="I7" t="str">
        <v>Daily</v>
      </c>
      <c r="K7" s="6" t="s">
        <v>564</v>
      </c>
      <c r="M7" s="14" t="s">
        <v>25</v>
      </c>
      <c r="N7">
        <v>7</v>
      </c>
      <c r="O7">
        <v>23</v>
      </c>
      <c r="P7">
        <v>33</v>
      </c>
      <c r="Q7">
        <v>43</v>
      </c>
      <c r="R7">
        <v>106</v>
      </c>
    </row>
    <row r="8" spans="1:18">
      <c r="A8" t="str">
        <v>ITEM443</v>
      </c>
      <c r="B8" t="str">
        <v>Sheet</v>
      </c>
      <c r="C8" t="str">
        <v>Supplier B</v>
      </c>
      <c r="D8" t="str">
        <v>AX</v>
      </c>
      <c r="E8" t="str">
        <v xml:space="preserve"> Safe</v>
      </c>
      <c r="F8" t="str">
        <v>Medium</v>
      </c>
      <c r="G8" t="str">
        <v>Strict Control</v>
      </c>
      <c r="H8" t="str">
        <v>Strict Replenishment</v>
      </c>
      <c r="I8" t="str">
        <v>Daily</v>
      </c>
      <c r="K8" s="18" t="s">
        <v>556</v>
      </c>
      <c r="M8" s="14" t="s">
        <v>19</v>
      </c>
      <c r="N8">
        <v>2</v>
      </c>
      <c r="O8">
        <v>13</v>
      </c>
      <c r="P8">
        <v>31</v>
      </c>
      <c r="Q8">
        <v>51</v>
      </c>
      <c r="R8">
        <v>97</v>
      </c>
    </row>
    <row r="9" spans="1:18">
      <c r="A9" t="str">
        <v>ITEM188</v>
      </c>
      <c r="B9" t="str">
        <v>Pipe B</v>
      </c>
      <c r="C9" t="str">
        <v>Supplier B</v>
      </c>
      <c r="D9" t="str">
        <v>AX</v>
      </c>
      <c r="E9" t="str">
        <v xml:space="preserve"> Risk</v>
      </c>
      <c r="F9" t="str">
        <v>Medium</v>
      </c>
      <c r="G9" t="str">
        <v>Strict Control</v>
      </c>
      <c r="H9" t="str">
        <v>Strict Replenishment</v>
      </c>
      <c r="I9" t="str">
        <v>Daily</v>
      </c>
      <c r="M9" s="14" t="s">
        <v>23</v>
      </c>
      <c r="N9">
        <v>5</v>
      </c>
      <c r="O9">
        <v>21</v>
      </c>
      <c r="P9">
        <v>23</v>
      </c>
      <c r="Q9">
        <v>48</v>
      </c>
      <c r="R9">
        <v>97</v>
      </c>
    </row>
    <row r="10" spans="1:18">
      <c r="A10" t="str">
        <v>ITEM270</v>
      </c>
      <c r="B10" t="str">
        <v>Valve</v>
      </c>
      <c r="C10" t="str">
        <v>Supplier B</v>
      </c>
      <c r="D10" t="str">
        <v>AX</v>
      </c>
      <c r="E10" t="str">
        <v xml:space="preserve"> Safe</v>
      </c>
      <c r="F10" t="str">
        <v>Medium</v>
      </c>
      <c r="G10" t="str">
        <v>Strict Control</v>
      </c>
      <c r="H10" t="str">
        <v>Strict Replenishment</v>
      </c>
      <c r="I10" t="str">
        <v>Daily</v>
      </c>
      <c r="M10" s="14" t="s">
        <v>41</v>
      </c>
      <c r="N10">
        <v>3</v>
      </c>
      <c r="O10">
        <v>20</v>
      </c>
      <c r="P10">
        <v>21</v>
      </c>
      <c r="Q10">
        <v>52</v>
      </c>
      <c r="R10">
        <v>96</v>
      </c>
    </row>
    <row r="11" spans="1:18">
      <c r="A11" t="str">
        <v>ITEM363</v>
      </c>
      <c r="B11" t="str">
        <v>Rod</v>
      </c>
      <c r="C11" t="str">
        <v>Supplier B</v>
      </c>
      <c r="D11" t="str">
        <v>AX</v>
      </c>
      <c r="E11" t="str">
        <v xml:space="preserve"> Need to Order</v>
      </c>
      <c r="F11" t="str">
        <v>Medium</v>
      </c>
      <c r="G11" t="str">
        <v>Strict Control</v>
      </c>
      <c r="H11" t="str">
        <v>Strict Replenishment</v>
      </c>
      <c r="I11" t="str">
        <v>Daily</v>
      </c>
      <c r="M11" s="14" t="s">
        <v>551</v>
      </c>
      <c r="N11">
        <v>24</v>
      </c>
      <c r="O11">
        <v>92</v>
      </c>
      <c r="P11">
        <v>149</v>
      </c>
      <c r="Q11">
        <v>235</v>
      </c>
      <c r="R11">
        <v>500</v>
      </c>
    </row>
    <row r="12" spans="1:18">
      <c r="A12" t="str">
        <v>ITEM385</v>
      </c>
      <c r="B12" t="str">
        <v>Sheet</v>
      </c>
      <c r="C12" t="str">
        <v>Supplier B</v>
      </c>
      <c r="D12" t="str">
        <v>AX</v>
      </c>
      <c r="E12" t="str">
        <v xml:space="preserve"> Safe</v>
      </c>
      <c r="F12" t="str">
        <v>Medium</v>
      </c>
      <c r="G12" t="str">
        <v>Strict Control</v>
      </c>
      <c r="H12" t="str">
        <v>Strict Replenishment</v>
      </c>
      <c r="I12" t="str">
        <v>Daily</v>
      </c>
    </row>
    <row r="13" spans="1:18" ht="15.6">
      <c r="A13" t="str">
        <v>ITEM187</v>
      </c>
      <c r="B13" t="str">
        <v>Rod</v>
      </c>
      <c r="C13" t="str">
        <v>Supplier B</v>
      </c>
      <c r="D13" t="str">
        <v>AX</v>
      </c>
      <c r="E13" t="str">
        <v xml:space="preserve"> Risk</v>
      </c>
      <c r="F13" t="str">
        <v>Medium</v>
      </c>
      <c r="G13" t="str">
        <v>Strict Control</v>
      </c>
      <c r="H13" t="str">
        <v>Strict Replenishment</v>
      </c>
      <c r="I13" t="str">
        <v>Daily</v>
      </c>
      <c r="M13" s="15" t="s">
        <v>557</v>
      </c>
    </row>
    <row r="14" spans="1:18">
      <c r="A14" t="str">
        <v>ITEM171</v>
      </c>
      <c r="B14" t="str">
        <v>Tube</v>
      </c>
      <c r="C14" t="str">
        <v>Supplier B</v>
      </c>
      <c r="D14" t="str">
        <v>AY</v>
      </c>
      <c r="E14" t="str">
        <v xml:space="preserve"> Need to Order</v>
      </c>
      <c r="F14" t="str">
        <v>Medium</v>
      </c>
      <c r="G14" t="str">
        <v>Frequent Monitoring</v>
      </c>
      <c r="H14" t="str">
        <v>Frequent Monitoring</v>
      </c>
      <c r="I14" t="str">
        <v>Every 2 Days</v>
      </c>
      <c r="M14" s="13" t="s">
        <v>558</v>
      </c>
      <c r="N14" t="s">
        <v>559</v>
      </c>
    </row>
    <row r="15" spans="1:18">
      <c r="A15" t="str">
        <v>ITEM292</v>
      </c>
      <c r="B15" t="str">
        <v>Tube</v>
      </c>
      <c r="C15" t="str">
        <v>Supplier B</v>
      </c>
      <c r="D15" t="str">
        <v>AY</v>
      </c>
      <c r="E15" t="str">
        <v xml:space="preserve"> Need to Order</v>
      </c>
      <c r="F15" t="str">
        <v>Medium</v>
      </c>
      <c r="G15" t="str">
        <v>Frequent Monitoring</v>
      </c>
      <c r="H15" t="str">
        <v>Frequent Monitoring</v>
      </c>
      <c r="I15" t="str">
        <v>Every 2 Days</v>
      </c>
      <c r="M15" s="14" t="s">
        <v>553</v>
      </c>
      <c r="N15">
        <v>24</v>
      </c>
    </row>
    <row r="16" spans="1:18">
      <c r="A16" t="str">
        <v>ITEM212</v>
      </c>
      <c r="B16" t="str">
        <v>Connector</v>
      </c>
      <c r="C16" t="str">
        <v>Supplier B</v>
      </c>
      <c r="D16" t="str">
        <v>AY</v>
      </c>
      <c r="E16" t="str">
        <v xml:space="preserve"> Risk</v>
      </c>
      <c r="F16" t="str">
        <v>Medium</v>
      </c>
      <c r="G16" t="str">
        <v>Frequent Monitoring</v>
      </c>
      <c r="H16" t="str">
        <v>Frequent Monitoring</v>
      </c>
      <c r="I16" t="str">
        <v>Every 2 Days</v>
      </c>
      <c r="M16" s="14" t="s">
        <v>554</v>
      </c>
      <c r="N16">
        <v>92</v>
      </c>
    </row>
    <row r="17" spans="1:14">
      <c r="A17" t="str">
        <v>ITEM475</v>
      </c>
      <c r="B17" t="str">
        <v>Valve</v>
      </c>
      <c r="C17" t="str">
        <v>Supplier B</v>
      </c>
      <c r="D17" t="str">
        <v>AY</v>
      </c>
      <c r="E17" t="str">
        <v xml:space="preserve"> Need to Order</v>
      </c>
      <c r="F17" t="str">
        <v>Medium</v>
      </c>
      <c r="G17" t="str">
        <v>Frequent Monitoring</v>
      </c>
      <c r="H17" t="str">
        <v>Frequent Monitoring</v>
      </c>
      <c r="I17" t="str">
        <v>Every 2 Days</v>
      </c>
      <c r="M17" s="14" t="s">
        <v>556</v>
      </c>
      <c r="N17">
        <v>149</v>
      </c>
    </row>
    <row r="18" spans="1:14">
      <c r="A18" t="str">
        <v>ITEM268</v>
      </c>
      <c r="B18" t="str">
        <v>Valve</v>
      </c>
      <c r="C18" t="str">
        <v>Supplier B</v>
      </c>
      <c r="D18" t="str">
        <v>AX</v>
      </c>
      <c r="E18" t="str">
        <v xml:space="preserve"> Safe</v>
      </c>
      <c r="F18" t="str">
        <v>Medium</v>
      </c>
      <c r="G18" t="str">
        <v>Strict Control</v>
      </c>
      <c r="H18" t="str">
        <v>Strict Replenishment</v>
      </c>
      <c r="I18" t="str">
        <v>Daily</v>
      </c>
      <c r="M18" s="14" t="s">
        <v>555</v>
      </c>
      <c r="N18">
        <v>235</v>
      </c>
    </row>
    <row r="19" spans="1:14">
      <c r="A19" t="str">
        <v>ITEM029</v>
      </c>
      <c r="B19" t="str">
        <v>Flange</v>
      </c>
      <c r="C19" t="str">
        <v>Supplier B</v>
      </c>
      <c r="D19" t="str">
        <v>AX</v>
      </c>
      <c r="E19" t="str">
        <v xml:space="preserve"> Safe</v>
      </c>
      <c r="F19" t="str">
        <v>Medium</v>
      </c>
      <c r="G19" t="str">
        <v>Strict Control</v>
      </c>
      <c r="H19" t="str">
        <v>Strict Replenishment</v>
      </c>
      <c r="I19" t="str">
        <v>Daily</v>
      </c>
      <c r="M19" s="14" t="s">
        <v>551</v>
      </c>
      <c r="N19">
        <v>500</v>
      </c>
    </row>
    <row r="20" spans="1:14">
      <c r="A20" t="str">
        <v>ITEM348</v>
      </c>
      <c r="B20" t="str">
        <v>Rod</v>
      </c>
      <c r="C20" t="str">
        <v>Supplier B</v>
      </c>
      <c r="D20" t="str">
        <v>AX</v>
      </c>
      <c r="E20" t="str">
        <v xml:space="preserve"> Safe</v>
      </c>
      <c r="F20" t="str">
        <v>Medium</v>
      </c>
      <c r="G20" t="str">
        <v>Strict Control</v>
      </c>
      <c r="H20" t="str">
        <v>Strict Replenishment</v>
      </c>
      <c r="I20" t="str">
        <v>Daily</v>
      </c>
    </row>
    <row r="21" spans="1:14">
      <c r="A21" t="str">
        <v>ITEM116</v>
      </c>
      <c r="B21" t="str">
        <v>Sheet</v>
      </c>
      <c r="C21" t="str">
        <v>Supplier B</v>
      </c>
      <c r="D21" t="str">
        <v>BY</v>
      </c>
      <c r="E21" t="str">
        <v xml:space="preserve"> Risk</v>
      </c>
      <c r="F21" t="str">
        <v>Medium</v>
      </c>
      <c r="G21" t="str">
        <v>Periodic Review</v>
      </c>
      <c r="H21" t="str">
        <v>Periodic Review</v>
      </c>
      <c r="I21" t="str">
        <v>Bi-Weekly</v>
      </c>
    </row>
    <row r="22" spans="1:14">
      <c r="A22" t="str">
        <v>ITEM375</v>
      </c>
      <c r="B22" t="str">
        <v>Sheet</v>
      </c>
      <c r="C22" t="str">
        <v>Supplier B</v>
      </c>
      <c r="D22" t="str">
        <v>BX</v>
      </c>
      <c r="E22" t="str">
        <v xml:space="preserve"> Safe</v>
      </c>
      <c r="F22" t="str">
        <v>Medium</v>
      </c>
      <c r="G22" t="str">
        <v>Standard Control</v>
      </c>
      <c r="H22" t="str">
        <v>Standard Replenishment</v>
      </c>
      <c r="I22" t="str">
        <v>Weekly</v>
      </c>
    </row>
    <row r="23" spans="1:14">
      <c r="A23" t="str">
        <v>ITEM134</v>
      </c>
      <c r="B23" t="str">
        <v>Pipe A</v>
      </c>
      <c r="C23" t="str">
        <v>Supplier B</v>
      </c>
      <c r="D23" t="str">
        <v>BX</v>
      </c>
      <c r="E23" t="str">
        <v xml:space="preserve"> Safe</v>
      </c>
      <c r="F23" t="str">
        <v>Medium</v>
      </c>
      <c r="G23" t="str">
        <v>Standard Control</v>
      </c>
      <c r="H23" t="str">
        <v>Standard Replenishment</v>
      </c>
      <c r="I23" t="str">
        <v>Weekly</v>
      </c>
    </row>
    <row r="24" spans="1:14">
      <c r="A24" t="str">
        <v>ITEM420</v>
      </c>
      <c r="B24" t="str">
        <v>Sheet</v>
      </c>
      <c r="C24" t="str">
        <v>Supplier B</v>
      </c>
      <c r="D24" t="str">
        <v>BX</v>
      </c>
      <c r="E24" t="str">
        <v xml:space="preserve"> Safe</v>
      </c>
      <c r="F24" t="str">
        <v>Medium</v>
      </c>
      <c r="G24" t="str">
        <v>Standard Control</v>
      </c>
      <c r="H24" t="str">
        <v>Standard Replenishment</v>
      </c>
      <c r="I24" t="str">
        <v>Weekly</v>
      </c>
    </row>
    <row r="25" spans="1:14">
      <c r="A25" t="str">
        <v>ITEM484</v>
      </c>
      <c r="B25" t="str">
        <v>Sheet</v>
      </c>
      <c r="C25" t="str">
        <v>Supplier B</v>
      </c>
      <c r="D25" t="str">
        <v>BX</v>
      </c>
      <c r="E25" t="str">
        <v xml:space="preserve"> Safe</v>
      </c>
      <c r="F25" t="str">
        <v>Medium</v>
      </c>
      <c r="G25" t="str">
        <v>Standard Control</v>
      </c>
      <c r="H25" t="str">
        <v>Standard Replenishment</v>
      </c>
      <c r="I25" t="str">
        <v>Weekly</v>
      </c>
    </row>
    <row r="26" spans="1:14">
      <c r="A26" t="str">
        <v>ITEM196</v>
      </c>
      <c r="B26" t="str">
        <v>Rod</v>
      </c>
      <c r="C26" t="str">
        <v>Supplier B</v>
      </c>
      <c r="D26" t="str">
        <v>BX</v>
      </c>
      <c r="E26" t="str">
        <v xml:space="preserve"> Need to Order</v>
      </c>
      <c r="F26" t="str">
        <v>Medium</v>
      </c>
      <c r="G26" t="str">
        <v>Standard Control</v>
      </c>
      <c r="H26" t="str">
        <v>Standard Replenishment</v>
      </c>
      <c r="I26" t="str">
        <v>Weekly</v>
      </c>
    </row>
    <row r="27" spans="1:14">
      <c r="A27" t="str">
        <v>ITEM407</v>
      </c>
      <c r="B27" t="str">
        <v>Connector</v>
      </c>
      <c r="C27" t="str">
        <v>Supplier B</v>
      </c>
      <c r="D27" t="str">
        <v>BX</v>
      </c>
      <c r="E27" t="str">
        <v xml:space="preserve"> Safe</v>
      </c>
      <c r="F27" t="str">
        <v>Medium</v>
      </c>
      <c r="G27" t="str">
        <v>Standard Control</v>
      </c>
      <c r="H27" t="str">
        <v>Standard Replenishment</v>
      </c>
      <c r="I27" t="str">
        <v>Weekly</v>
      </c>
    </row>
    <row r="28" spans="1:14">
      <c r="A28" t="str">
        <v>ITEM384</v>
      </c>
      <c r="B28" t="str">
        <v>Flange</v>
      </c>
      <c r="C28" t="str">
        <v>Supplier B</v>
      </c>
      <c r="D28" t="str">
        <v>CY</v>
      </c>
      <c r="E28" t="str">
        <v xml:space="preserve"> Risk</v>
      </c>
      <c r="F28" t="str">
        <v>Medium</v>
      </c>
      <c r="G28" t="str">
        <v>Low-Priority Monitoring</v>
      </c>
      <c r="H28" t="str">
        <v>Low Priority Monitoring</v>
      </c>
      <c r="I28" t="str">
        <v>Monthly Review</v>
      </c>
    </row>
    <row r="29" spans="1:14">
      <c r="A29" t="str">
        <v>ITEM145</v>
      </c>
      <c r="B29" t="str">
        <v>Tube</v>
      </c>
      <c r="C29" t="str">
        <v>Supplier B</v>
      </c>
      <c r="D29" t="str">
        <v>CZ</v>
      </c>
      <c r="E29" t="str">
        <v xml:space="preserve"> Need to Order</v>
      </c>
      <c r="F29" t="str">
        <v>Medium</v>
      </c>
      <c r="G29" t="str">
        <v>Minimal Control</v>
      </c>
      <c r="H29" t="str">
        <v>Reduce Inventory Exposure</v>
      </c>
      <c r="I29" t="str">
        <v>Quarterly</v>
      </c>
    </row>
    <row r="30" spans="1:14">
      <c r="A30" t="str">
        <v>ITEM264</v>
      </c>
      <c r="B30" t="str">
        <v>Flange</v>
      </c>
      <c r="C30" t="str">
        <v>Supplier B</v>
      </c>
      <c r="D30" t="str">
        <v>CX</v>
      </c>
      <c r="E30" t="str">
        <v xml:space="preserve"> Safe</v>
      </c>
      <c r="F30" t="str">
        <v>Medium</v>
      </c>
      <c r="G30" t="str">
        <v>Simplified Bulk Control</v>
      </c>
      <c r="H30" t="str">
        <v>Bulk Ordering</v>
      </c>
      <c r="I30" t="str">
        <v>Monthly</v>
      </c>
    </row>
    <row r="31" spans="1:14">
      <c r="A31" t="str">
        <v>ITEM413</v>
      </c>
      <c r="B31" t="str">
        <v>Sheet</v>
      </c>
      <c r="C31" t="str">
        <v>Supplier B</v>
      </c>
      <c r="D31" t="str">
        <v>CZ</v>
      </c>
      <c r="E31" t="str">
        <v xml:space="preserve"> Safe</v>
      </c>
      <c r="F31" t="str">
        <v>Medium</v>
      </c>
      <c r="G31" t="str">
        <v>Minimal Control</v>
      </c>
      <c r="H31" t="str">
        <v>Reduce Inventory Exposure</v>
      </c>
      <c r="I31" t="str">
        <v>Quarterly</v>
      </c>
    </row>
    <row r="32" spans="1:14">
      <c r="A32" t="str">
        <v>ITEM076</v>
      </c>
      <c r="B32" t="str">
        <v>Connector</v>
      </c>
      <c r="C32" t="str">
        <v>Supplier B</v>
      </c>
      <c r="D32" t="str">
        <v>CZ</v>
      </c>
      <c r="E32" t="str">
        <v xml:space="preserve"> Risk</v>
      </c>
      <c r="F32" t="str">
        <v>Medium</v>
      </c>
      <c r="G32" t="str">
        <v>Minimal Control</v>
      </c>
      <c r="H32" t="str">
        <v>Reduce Inventory Exposure</v>
      </c>
      <c r="I32" t="str">
        <v>Quarterly</v>
      </c>
    </row>
    <row r="33" spans="1:9">
      <c r="A33" t="str">
        <v>ITEM411</v>
      </c>
      <c r="B33" t="str">
        <v>Rod</v>
      </c>
      <c r="C33" t="str">
        <v>Supplier B</v>
      </c>
      <c r="D33" t="str">
        <v>CY</v>
      </c>
      <c r="E33" t="str">
        <v xml:space="preserve"> Need to Order</v>
      </c>
      <c r="F33" t="str">
        <v>Medium</v>
      </c>
      <c r="G33" t="str">
        <v>Low-Priority Monitoring</v>
      </c>
      <c r="H33" t="str">
        <v>Low Priority Monitoring</v>
      </c>
      <c r="I33" t="str">
        <v>Monthly Review</v>
      </c>
    </row>
    <row r="34" spans="1:9">
      <c r="A34" t="str">
        <v>ITEM018</v>
      </c>
      <c r="B34" t="str">
        <v>Rod</v>
      </c>
      <c r="C34" t="str">
        <v>Supplier B</v>
      </c>
      <c r="D34" t="str">
        <v>CZ</v>
      </c>
      <c r="E34" t="str">
        <v xml:space="preserve"> Safe</v>
      </c>
      <c r="F34" t="str">
        <v>Medium</v>
      </c>
      <c r="G34" t="str">
        <v>Minimal Control</v>
      </c>
      <c r="H34" t="str">
        <v>Reduce Inventory Exposure</v>
      </c>
      <c r="I34" t="str">
        <v>Quarterly</v>
      </c>
    </row>
  </sheetData>
  <dataValidations count="3">
    <dataValidation type="list" allowBlank="1" showInputMessage="1" showErrorMessage="1" sqref="K3" xr:uid="{DF722E11-322F-4731-9C8E-3CA11CA1771A}">
      <formula1>$M$6:$M$10</formula1>
    </dataValidation>
    <dataValidation type="list" allowBlank="1" showInputMessage="1" showErrorMessage="1" sqref="K8" xr:uid="{889DF7AA-4501-408B-9C7C-704832CDD100}">
      <formula1>$M$15:$M$18</formula1>
    </dataValidation>
    <dataValidation type="list" allowBlank="1" showInputMessage="1" showErrorMessage="1" sqref="M2" xr:uid="{CD89901C-3C2D-483A-8D51-0F24A4489EB4}">
      <formula1>$L$2:$L$6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Inventory_Data</vt:lpstr>
      <vt:lpstr>Control_Panel</vt:lpstr>
      <vt:lpstr>Decision_Output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Zampadiya</dc:creator>
  <cp:lastModifiedBy>Umesh Zampadiya</cp:lastModifiedBy>
  <dcterms:created xsi:type="dcterms:W3CDTF">2015-06-05T18:17:20Z</dcterms:created>
  <dcterms:modified xsi:type="dcterms:W3CDTF">2026-05-31T06:39:15Z</dcterms:modified>
</cp:coreProperties>
</file>